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4D845110659CED0/Documents/"/>
    </mc:Choice>
  </mc:AlternateContent>
  <xr:revisionPtr revIDLastSave="392" documentId="8_{CB5F27D2-4BF4-481B-80A3-2690AB9D0589}" xr6:coauthVersionLast="47" xr6:coauthVersionMax="47" xr10:uidLastSave="{B216993A-F770-4927-96CE-2F80CFBC3CE5}"/>
  <bookViews>
    <workbookView xWindow="-108" yWindow="-108" windowWidth="23256" windowHeight="12456" activeTab="1" xr2:uid="{00000000-000D-0000-FFFF-FFFF00000000}"/>
  </bookViews>
  <sheets>
    <sheet name="Table1" sheetId="2" r:id="rId1"/>
    <sheet name="dash board" sheetId="3" r:id="rId2"/>
    <sheet name="SalesData" sheetId="1" r:id="rId3"/>
  </sheets>
  <definedNames>
    <definedName name="ExternalData_1" localSheetId="0" hidden="1">Table1!$A$1:$P$101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2" l="1"/>
  <c r="S7" i="2"/>
  <c r="S6" i="2"/>
  <c r="S5" i="2"/>
  <c r="S4" i="2"/>
  <c r="L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L13" i="2"/>
  <c r="L14" i="2"/>
  <c r="L15" i="2"/>
  <c r="L16" i="2"/>
  <c r="L21" i="2"/>
  <c r="L22" i="2"/>
  <c r="L23" i="2"/>
  <c r="L24" i="2"/>
  <c r="L29" i="2"/>
  <c r="L30" i="2"/>
  <c r="L31" i="2"/>
  <c r="L32" i="2"/>
  <c r="L37" i="2"/>
  <c r="L38" i="2"/>
  <c r="L39" i="2"/>
  <c r="L40" i="2"/>
  <c r="L45" i="2"/>
  <c r="L46" i="2"/>
  <c r="L47" i="2"/>
  <c r="L48" i="2"/>
  <c r="L53" i="2"/>
  <c r="L54" i="2"/>
  <c r="L55" i="2"/>
  <c r="L56" i="2"/>
  <c r="L61" i="2"/>
  <c r="L62" i="2"/>
  <c r="L63" i="2"/>
  <c r="L64" i="2"/>
  <c r="L69" i="2"/>
  <c r="L70" i="2"/>
  <c r="L71" i="2"/>
  <c r="L72" i="2"/>
  <c r="L77" i="2"/>
  <c r="L78" i="2"/>
  <c r="L79" i="2"/>
  <c r="L80" i="2"/>
  <c r="L85" i="2"/>
  <c r="L86" i="2"/>
  <c r="L87" i="2"/>
  <c r="L88" i="2"/>
  <c r="L93" i="2"/>
  <c r="L94" i="2"/>
  <c r="L95" i="2"/>
  <c r="L96" i="2"/>
  <c r="L101" i="2"/>
  <c r="J2" i="2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J14" i="2"/>
  <c r="J15" i="2"/>
  <c r="J16" i="2"/>
  <c r="J17" i="2"/>
  <c r="L17" i="2" s="1"/>
  <c r="J18" i="2"/>
  <c r="L18" i="2" s="1"/>
  <c r="J19" i="2"/>
  <c r="L19" i="2" s="1"/>
  <c r="J20" i="2"/>
  <c r="L20" i="2" s="1"/>
  <c r="J21" i="2"/>
  <c r="J22" i="2"/>
  <c r="J23" i="2"/>
  <c r="J24" i="2"/>
  <c r="J25" i="2"/>
  <c r="L25" i="2" s="1"/>
  <c r="J26" i="2"/>
  <c r="L26" i="2" s="1"/>
  <c r="J27" i="2"/>
  <c r="L27" i="2" s="1"/>
  <c r="J28" i="2"/>
  <c r="L28" i="2" s="1"/>
  <c r="J29" i="2"/>
  <c r="J30" i="2"/>
  <c r="J31" i="2"/>
  <c r="J32" i="2"/>
  <c r="J33" i="2"/>
  <c r="L33" i="2" s="1"/>
  <c r="J34" i="2"/>
  <c r="L34" i="2" s="1"/>
  <c r="J35" i="2"/>
  <c r="L35" i="2" s="1"/>
  <c r="J36" i="2"/>
  <c r="L36" i="2" s="1"/>
  <c r="J37" i="2"/>
  <c r="J38" i="2"/>
  <c r="J39" i="2"/>
  <c r="J40" i="2"/>
  <c r="J41" i="2"/>
  <c r="L41" i="2" s="1"/>
  <c r="J42" i="2"/>
  <c r="L42" i="2" s="1"/>
  <c r="J43" i="2"/>
  <c r="L43" i="2" s="1"/>
  <c r="J44" i="2"/>
  <c r="L44" i="2" s="1"/>
  <c r="J45" i="2"/>
  <c r="J46" i="2"/>
  <c r="J47" i="2"/>
  <c r="J48" i="2"/>
  <c r="J49" i="2"/>
  <c r="L49" i="2" s="1"/>
  <c r="J50" i="2"/>
  <c r="L50" i="2" s="1"/>
  <c r="J51" i="2"/>
  <c r="L51" i="2" s="1"/>
  <c r="J52" i="2"/>
  <c r="L52" i="2" s="1"/>
  <c r="J53" i="2"/>
  <c r="J54" i="2"/>
  <c r="J55" i="2"/>
  <c r="J56" i="2"/>
  <c r="J57" i="2"/>
  <c r="L57" i="2" s="1"/>
  <c r="J58" i="2"/>
  <c r="L58" i="2" s="1"/>
  <c r="J59" i="2"/>
  <c r="L59" i="2" s="1"/>
  <c r="J60" i="2"/>
  <c r="L60" i="2" s="1"/>
  <c r="J61" i="2"/>
  <c r="J62" i="2"/>
  <c r="J63" i="2"/>
  <c r="J64" i="2"/>
  <c r="J65" i="2"/>
  <c r="L65" i="2" s="1"/>
  <c r="J66" i="2"/>
  <c r="L66" i="2" s="1"/>
  <c r="J67" i="2"/>
  <c r="L67" i="2" s="1"/>
  <c r="J68" i="2"/>
  <c r="L68" i="2" s="1"/>
  <c r="J69" i="2"/>
  <c r="J70" i="2"/>
  <c r="J71" i="2"/>
  <c r="J72" i="2"/>
  <c r="J73" i="2"/>
  <c r="L73" i="2" s="1"/>
  <c r="J74" i="2"/>
  <c r="L74" i="2" s="1"/>
  <c r="J75" i="2"/>
  <c r="L75" i="2" s="1"/>
  <c r="J76" i="2"/>
  <c r="L76" i="2" s="1"/>
  <c r="J77" i="2"/>
  <c r="J78" i="2"/>
  <c r="J79" i="2"/>
  <c r="J80" i="2"/>
  <c r="J81" i="2"/>
  <c r="L81" i="2" s="1"/>
  <c r="J82" i="2"/>
  <c r="L82" i="2" s="1"/>
  <c r="J83" i="2"/>
  <c r="L83" i="2" s="1"/>
  <c r="J84" i="2"/>
  <c r="L84" i="2" s="1"/>
  <c r="J85" i="2"/>
  <c r="J86" i="2"/>
  <c r="J87" i="2"/>
  <c r="J88" i="2"/>
  <c r="J89" i="2"/>
  <c r="L89" i="2" s="1"/>
  <c r="J90" i="2"/>
  <c r="L90" i="2" s="1"/>
  <c r="J91" i="2"/>
  <c r="L91" i="2" s="1"/>
  <c r="J92" i="2"/>
  <c r="L92" i="2" s="1"/>
  <c r="J93" i="2"/>
  <c r="J94" i="2"/>
  <c r="J95" i="2"/>
  <c r="J96" i="2"/>
  <c r="J97" i="2"/>
  <c r="L97" i="2" s="1"/>
  <c r="J98" i="2"/>
  <c r="L98" i="2" s="1"/>
  <c r="J99" i="2"/>
  <c r="L99" i="2" s="1"/>
  <c r="J100" i="2"/>
  <c r="L100" i="2" s="1"/>
  <c r="J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840429-E857-4BA8-A727-3B78CBEAD54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<sst xmlns="http://schemas.openxmlformats.org/spreadsheetml/2006/main" count="1634" uniqueCount="169">
  <si>
    <t>Order ID</t>
  </si>
  <si>
    <t>Order Date</t>
  </si>
  <si>
    <t>Customer Name</t>
  </si>
  <si>
    <t>City</t>
  </si>
  <si>
    <t>Department</t>
  </si>
  <si>
    <t>Product</t>
  </si>
  <si>
    <t>Salesperson</t>
  </si>
  <si>
    <t>Quantity</t>
  </si>
  <si>
    <t>Unit Price</t>
  </si>
  <si>
    <t>Discount %</t>
  </si>
  <si>
    <t xml:space="preserve">Status </t>
  </si>
  <si>
    <t>Payment Method</t>
  </si>
  <si>
    <t>Remarks</t>
  </si>
  <si>
    <t>Customer 1</t>
  </si>
  <si>
    <t>Kannur</t>
  </si>
  <si>
    <t>Office Supplies</t>
  </si>
  <si>
    <t>Notebook</t>
  </si>
  <si>
    <t>Aisha</t>
  </si>
  <si>
    <t xml:space="preserve"> pending</t>
  </si>
  <si>
    <t>UPI</t>
  </si>
  <si>
    <t xml:space="preserve">repeat customer </t>
  </si>
  <si>
    <t>Customer 2</t>
  </si>
  <si>
    <t xml:space="preserve">Pending </t>
  </si>
  <si>
    <t>Customer 3</t>
  </si>
  <si>
    <t xml:space="preserve">CALICUT </t>
  </si>
  <si>
    <t>Furniture</t>
  </si>
  <si>
    <t>Chair</t>
  </si>
  <si>
    <t>Neha</t>
  </si>
  <si>
    <t>completed</t>
  </si>
  <si>
    <t>Card</t>
  </si>
  <si>
    <t>Customer 4</t>
  </si>
  <si>
    <t>thrissur</t>
  </si>
  <si>
    <t>Desk</t>
  </si>
  <si>
    <t>Cash</t>
  </si>
  <si>
    <t>Customer 5</t>
  </si>
  <si>
    <t xml:space="preserve"> Trivandrum</t>
  </si>
  <si>
    <t>Electronics</t>
  </si>
  <si>
    <t>Keyboard</t>
  </si>
  <si>
    <t>Customer 6</t>
  </si>
  <si>
    <t>Mouse</t>
  </si>
  <si>
    <t>Arun</t>
  </si>
  <si>
    <t xml:space="preserve"> urgent</t>
  </si>
  <si>
    <t>Customer 7</t>
  </si>
  <si>
    <t xml:space="preserve"> kochi</t>
  </si>
  <si>
    <t>Customer 8</t>
  </si>
  <si>
    <t>Pen Set</t>
  </si>
  <si>
    <t>Rahul</t>
  </si>
  <si>
    <t>Customer 9</t>
  </si>
  <si>
    <t xml:space="preserve"> new lead</t>
  </si>
  <si>
    <t>Customer 10</t>
  </si>
  <si>
    <t>Customer 11</t>
  </si>
  <si>
    <t>Customer 12</t>
  </si>
  <si>
    <t>Customer 13</t>
  </si>
  <si>
    <t>Customer 14</t>
  </si>
  <si>
    <t>Laptop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</si>
  <si>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</si>
  <si>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</si>
  <si>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</si>
  <si>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</si>
  <si>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</si>
  <si>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</si>
  <si>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</si>
  <si>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</si>
  <si>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</si>
  <si>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</si>
  <si>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</si>
  <si>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</si>
  <si>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</si>
  <si>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</si>
  <si>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</si>
  <si>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</si>
  <si>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</si>
  <si>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</si>
  <si>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</si>
  <si>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</si>
  <si>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</si>
  <si>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</si>
  <si>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</si>
  <si>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</si>
  <si>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</si>
  <si>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</si>
  <si>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</si>
  <si>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</si>
  <si>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</si>
  <si>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</si>
  <si>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</si>
  <si>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</si>
  <si>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</si>
  <si>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</si>
  <si>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</si>
  <si>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</si>
  <si>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</si>
  <si>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</si>
  <si>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</si>
  <si>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</si>
  <si>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</si>
  <si>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</si>
  <si>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</si>
  <si>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</si>
  <si>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</si>
  <si>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</si>
  <si>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</si>
  <si>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</si>
  <si>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</si>
  <si>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</si>
  <si>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</si>
  <si>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</si>
  <si>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</si>
  <si>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</si>
  <si>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</si>
  <si>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</si>
  <si>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</si>
  <si>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</si>
  <si>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</si>
  <si>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</si>
  <si>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</si>
  <si>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</si>
  <si>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</si>
  <si>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</si>
  <si>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</si>
  <si>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</si>
  <si>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</si>
  <si>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</si>
  <si>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</si>
  <si>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</si>
  <si>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</si>
  <si>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</si>
  <si>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</si>
  <si>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</si>
  <si>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</si>
  <si>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</si>
  <si>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</si>
  <si>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</si>
  <si>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</si>
  <si>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</si>
  <si>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</si>
  <si>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</si>
  <si>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</si>
  <si>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</si>
  <si>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</si>
  <si>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</si>
  <si>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pending</t>
  </si>
  <si>
    <t>Upi</t>
  </si>
  <si>
    <t>Repeat Customer</t>
  </si>
  <si>
    <t>Pending</t>
  </si>
  <si>
    <t>Calicut</t>
  </si>
  <si>
    <t>Thrissur</t>
  </si>
  <si>
    <t>Trivandrum</t>
  </si>
  <si>
    <t>Urgent</t>
  </si>
  <si>
    <t>Kochi</t>
  </si>
  <si>
    <t>New Lead</t>
  </si>
  <si>
    <t>NO Remarks</t>
  </si>
  <si>
    <t>Column1</t>
  </si>
  <si>
    <t>Total Sales</t>
  </si>
  <si>
    <t>Discount Amt</t>
  </si>
  <si>
    <t>After discount   Amt</t>
  </si>
  <si>
    <t>Net Revenue</t>
  </si>
  <si>
    <t>Column2</t>
  </si>
  <si>
    <t>Total sales</t>
  </si>
  <si>
    <t>Total Discount</t>
  </si>
  <si>
    <t>Total orders</t>
  </si>
  <si>
    <t>Avg Order Value</t>
  </si>
  <si>
    <t>Row Labels</t>
  </si>
  <si>
    <t>Grand Total</t>
  </si>
  <si>
    <t>Sum of Total Sales</t>
  </si>
  <si>
    <t>Sum of Discount Amt</t>
  </si>
  <si>
    <t>Sum of After discount   Amt</t>
  </si>
  <si>
    <t>Count of Order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</si>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</sst>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4"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colors>
    <mruColors>
      <color rgb="FFEC84BD"/>
      <color rgb="FFFF6699"/>
      <color rgb="FFFF00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[Company_Sales_Dataset_For_Excel_Dashboard.xlsx]Table1!PivotTable1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97734683058136"/>
          <c:y val="0.15310894588662183"/>
          <c:w val="0.49557198342650804"/>
          <c:h val="0.63310333698382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Table1!$S$10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Table1!$S$11:$S$14</c:f>
              <c:numCache>
                <c:formatCode>General</c:formatCode>
                <c:ptCount val="3"/>
                <c:pt idx="0">
                  <c:v>25</c:v>
                </c:pt>
                <c:pt idx="1">
                  <c:v>33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B-4F61-A1E2-9CEEE5FBEA77}"/>
            </c:ext>
          </c:extLst>
        </c:ser>
        <c:ser>
          <c:idx val="1"/>
          <c:order val="1"/>
          <c:tx>
            <c:strRef>
              <c:f>Table1!$T$10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Table1!$T$11:$T$14</c:f>
              <c:numCache>
                <c:formatCode>General</c:formatCode>
                <c:ptCount val="3"/>
                <c:pt idx="0">
                  <c:v>316210</c:v>
                </c:pt>
                <c:pt idx="1">
                  <c:v>489860</c:v>
                </c:pt>
                <c:pt idx="2">
                  <c:v>509524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B-4F61-A1E2-9CEEE5FBEA77}"/>
            </c:ext>
          </c:extLst>
        </c:ser>
        <c:ser>
          <c:idx val="2"/>
          <c:order val="2"/>
          <c:tx>
            <c:strRef>
              <c:f>Table1!$U$10</c:f>
              <c:strCache>
                <c:ptCount val="1"/>
                <c:pt idx="0">
                  <c:v>Sum of Discount Amt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Table1!$U$11:$U$14</c:f>
              <c:numCache>
                <c:formatCode>General</c:formatCode>
                <c:ptCount val="3"/>
                <c:pt idx="0">
                  <c:v>21580.5</c:v>
                </c:pt>
                <c:pt idx="1">
                  <c:v>29110.600000000002</c:v>
                </c:pt>
                <c:pt idx="2">
                  <c:v>34563.599999999999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B-4F61-A1E2-9CEEE5FBEA77}"/>
            </c:ext>
          </c:extLst>
        </c:ser>
        <c:ser>
          <c:idx val="3"/>
          <c:order val="3"/>
          <c:tx>
            <c:strRef>
              <c:f>Table1!$V$10</c:f>
              <c:strCache>
                <c:ptCount val="1"/>
                <c:pt idx="0">
                  <c:v>Sum of After discount   Amt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Table1!$V$11:$V$14</c:f>
              <c:numCache>
                <c:formatCode>General</c:formatCode>
                <c:ptCount val="3"/>
                <c:pt idx="0">
                  <c:v>294629.5</c:v>
                </c:pt>
                <c:pt idx="1">
                  <c:v>460749.39999999997</c:v>
                </c:pt>
                <c:pt idx="2">
                  <c:v>474960.40000000008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B-4F61-A1E2-9CEEE5FBE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903567"/>
        <c:axId val="471898767"/>
      </c:barChart>
      <c:catAx>
        <c:axId val="47190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98767"/>
        <c:crosses val="autoZero"/>
        <c:auto val="1"/>
        <c:lblAlgn val="ctr"/>
        <c:lblOffset val="100"/>
        <c:noMultiLvlLbl val="0"/>
      </c:catAx>
      <c:valAx>
        <c:axId val="4718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0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[Company_Sales_Dataset_For_Excel_Dashboard.xlsx]Table1!PivotTable2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TABLE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Table1!$S$16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Table1!$R$17:$R$22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Table1!$S$17:$S$22</c:f>
              <c:numCache>
                <c:formatCode>General</c:formatCode>
                <c:ptCount val="5"/>
                <c:pt idx="0">
                  <c:v>289089.7</c:v>
                </c:pt>
                <c:pt idx="1">
                  <c:v>274736</c:v>
                </c:pt>
                <c:pt idx="2">
                  <c:v>276611.59999999998</c:v>
                </c:pt>
                <c:pt idx="3">
                  <c:v>190768.05</c:v>
                </c:pt>
                <c:pt idx="4">
                  <c:v>199133.94999999998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0-4091-BB83-7C3D4BA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041663"/>
        <c:axId val="409042143"/>
      </c:barChart>
      <c:catAx>
        <c:axId val="40904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2143"/>
        <c:crosses val="autoZero"/>
        <c:auto val="1"/>
        <c:lblAlgn val="ctr"/>
        <c:lblOffset val="100"/>
        <c:noMultiLvlLbl val="0"/>
      </c:catAx>
      <c:valAx>
        <c:axId val="409042143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[Company_Sales_Dataset_For_Excel_Dashboard.xlsx]Table1!PivotTable3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TABLE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Table1!$S$24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6A5-4915-BC38-A24331F1614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6A5-4915-BC38-A24331F16142}"/>
              </c:ext>
            </c:extLst>
          </c:dPt>
          <c:cat>
            <c:strRef>
              <c:f>Table1!$R$25:$R$27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Table1!$S$25:$S$27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0-439F-A35E-816CB8CC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[Company_Sales_Dataset_For_Excel_Dashboard.xlsx]Table1!PivotTable1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64634798417282"/>
          <c:y val="0.1580833219745218"/>
          <c:w val="0.49557198342650804"/>
          <c:h val="0.63310333698382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Table1!$S$10</c:f>
              <c:strCache>
                <c:ptCount val="1"/>
                <c:pt idx="0">
                  <c:v>Count of Order ID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Table1!$S$11:$S$14</c:f>
              <c:numCache>
                <c:formatCode>General</c:formatCode>
                <c:ptCount val="3"/>
                <c:pt idx="0">
                  <c:v>25</c:v>
                </c:pt>
                <c:pt idx="1">
                  <c:v>33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C-4814-8938-2743E4F088E8}"/>
            </c:ext>
          </c:extLst>
        </c:ser>
        <c:ser>
          <c:idx val="1"/>
          <c:order val="1"/>
          <c:tx>
            <c:strRef>
              <c:f>Table1!$T$10</c:f>
              <c:strCache>
                <c:ptCount val="1"/>
                <c:pt idx="0">
                  <c:v>Sum of Total Sales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Table1!$T$11:$T$14</c:f>
              <c:numCache>
                <c:formatCode>General</c:formatCode>
                <c:ptCount val="3"/>
                <c:pt idx="0">
                  <c:v>316210</c:v>
                </c:pt>
                <c:pt idx="1">
                  <c:v>489860</c:v>
                </c:pt>
                <c:pt idx="2">
                  <c:v>509524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C-4814-8938-2743E4F088E8}"/>
            </c:ext>
          </c:extLst>
        </c:ser>
        <c:ser>
          <c:idx val="2"/>
          <c:order val="2"/>
          <c:tx>
            <c:strRef>
              <c:f>Table1!$U$10</c:f>
              <c:strCache>
                <c:ptCount val="1"/>
                <c:pt idx="0">
                  <c:v>Sum of Discount Amt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Table1!$U$11:$U$14</c:f>
              <c:numCache>
                <c:formatCode>General</c:formatCode>
                <c:ptCount val="3"/>
                <c:pt idx="0">
                  <c:v>21580.5</c:v>
                </c:pt>
                <c:pt idx="1">
                  <c:v>29110.600000000002</c:v>
                </c:pt>
                <c:pt idx="2">
                  <c:v>34563.599999999999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C-4814-8938-2743E4F088E8}"/>
            </c:ext>
          </c:extLst>
        </c:ser>
        <c:ser>
          <c:idx val="3"/>
          <c:order val="3"/>
          <c:tx>
            <c:strRef>
              <c:f>Table1!$V$10</c:f>
              <c:strCache>
                <c:ptCount val="1"/>
                <c:pt idx="0">
                  <c:v>Sum of After discount   Amt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cat>
            <c:strRef>
              <c:f>Table1!$R$11:$R$14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Table1!$V$11:$V$14</c:f>
              <c:numCache>
                <c:formatCode>General</c:formatCode>
                <c:ptCount val="3"/>
                <c:pt idx="0">
                  <c:v>294629.5</c:v>
                </c:pt>
                <c:pt idx="1">
                  <c:v>460749.39999999997</c:v>
                </c:pt>
                <c:pt idx="2">
                  <c:v>474960.40000000008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C-4814-8938-2743E4F0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1903567"/>
        <c:axId val="471898767"/>
      </c:barChart>
      <c:catAx>
        <c:axId val="47190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98767"/>
        <c:crosses val="autoZero"/>
        <c:auto val="1"/>
        <c:lblAlgn val="ctr"/>
        <c:lblOffset val="100"/>
        <c:noMultiLvlLbl val="0"/>
      </c:catAx>
      <c:valAx>
        <c:axId val="47189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0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[Company_Sales_Dataset_For_Excel_Dashboard.xlsx]Table1!PivotTable2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Table1!$S$16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Table1!$R$17:$R$22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Table1!$S$17:$S$22</c:f>
              <c:numCache>
                <c:formatCode>General</c:formatCode>
                <c:ptCount val="5"/>
                <c:pt idx="0">
                  <c:v>289089.7</c:v>
                </c:pt>
                <c:pt idx="1">
                  <c:v>274736</c:v>
                </c:pt>
                <c:pt idx="2">
                  <c:v>276611.59999999998</c:v>
                </c:pt>
                <c:pt idx="3">
                  <c:v>190768.05</c:v>
                </c:pt>
                <c:pt idx="4">
                  <c:v>199133.94999999998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4-478F-A1DC-E53E4824A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041663"/>
        <c:axId val="409042143"/>
      </c:barChart>
      <c:catAx>
        <c:axId val="40904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2143"/>
        <c:crosses val="autoZero"/>
        <c:auto val="1"/>
        <c:lblAlgn val="ctr"/>
        <c:lblOffset val="100"/>
        <c:noMultiLvlLbl val="0"/>
      </c:catAx>
      <c:valAx>
        <c:axId val="40904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6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[Company_Sales_Dataset_For_Excel_Dashboard.xlsx]Table1!PivotTable3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TABLE</a:t>
            </a:r>
          </a:p>
        </c:rich>
      </c:tx>
      <c:layout>
        <c:manualLayout>
          <c:xMode val="edge"/>
          <c:yMode val="edge"/>
          <c:x val="0.34220346254795075"/>
          <c:y val="0.12328123163709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Table1!$S$24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A16-41F7-B9A3-A7DA856F0C3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A16-41F7-B9A3-A7DA856F0C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Table1!$R$25:$R$27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Table1!$S$25:$S$27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6-41F7-B9A3-A7DA856F0C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6.xml"/><Relationship Id="rId7" Type="http://schemas.openxmlformats.org/officeDocument/2006/relationships/image" Target="../media/image4.sv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284788</xdr:colOff>
      <xdr:row>1</xdr:row>
      <xdr:rowOff>69275</xdr:rowOff>
    </xdr:from>
    <xdr:to>
      <xdr:col>29</xdr:col>
      <xdr:colOff>423334</xdr:colOff>
      <xdr:row>15</xdr:row>
      <xdr:rowOff>36177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1A02A-5EFD-95C6-CE65-D3D0CCA05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723517</xdr:colOff>
      <xdr:row>15</xdr:row>
      <xdr:rowOff>23090</xdr:rowOff>
    </xdr:from>
    <xdr:to>
      <xdr:col>22</xdr:col>
      <xdr:colOff>123152</xdr:colOff>
      <xdr:row>24</xdr:row>
      <xdr:rowOff>97751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0B6C96-31D0-6A3E-15A8-F0EED818E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523394</xdr:colOff>
      <xdr:row>27</xdr:row>
      <xdr:rowOff>38484</xdr:rowOff>
    </xdr:from>
    <xdr:to>
      <xdr:col>20</xdr:col>
      <xdr:colOff>1139151</xdr:colOff>
      <xdr:row>38</xdr:row>
      <xdr:rowOff>82357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23F56E-4B1D-76B1-606D-1B6E8E5F5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121920</xdr:colOff>
      <xdr:row>50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4B4DEB-BC16-EE05-2BA9-1D9AC564B943}"/>
            </a:ext>
          </a:extLst>
        </xdr:cNvPr>
        <xdr:cNvSpPr/>
      </xdr:nvSpPr>
      <xdr:spPr>
        <a:xfrm>
          <a:off x="0" y="0"/>
          <a:ext cx="14287500" cy="91821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220980</xdr:colOff>
      <xdr:row>0</xdr:row>
      <xdr:rowOff>121920</xdr:rowOff>
    </xdr:from>
    <xdr:to>
      <xdr:col>14</xdr:col>
      <xdr:colOff>518160</xdr:colOff>
      <xdr:row>4</xdr:row>
      <xdr:rowOff>60960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26A4E6-0904-B5E2-BFD6-00D3E48BDEA3}"/>
            </a:ext>
          </a:extLst>
        </xdr:cNvPr>
        <xdr:cNvSpPr/>
      </xdr:nvSpPr>
      <xdr:spPr>
        <a:xfrm>
          <a:off x="3878580" y="121920"/>
          <a:ext cx="5173980" cy="670560"/>
        </a:xfrm>
        <a:prstGeom prst="rect">
          <a:avLst/>
        </a:prstGeom>
        <a:solidFill>
          <a:srgbClr val="EC84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COMPANY SALES</a:t>
          </a:r>
          <a:r>
            <a:rPr lang="en-IN" sz="2400" b="1" baseline="0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 DASHBOARD</a:t>
          </a:r>
          <a:endParaRPr lang="en-IN" sz="2400" b="1">
            <a:solidFill>
              <a:schemeClr val="bg1">
                <a:lumMod val="95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1</xdr:col>
      <xdr:colOff>396240</xdr:colOff>
      <xdr:row>5</xdr:row>
      <xdr:rowOff>137160</xdr:rowOff>
    </xdr:from>
    <xdr:to>
      <xdr:col>6</xdr:col>
      <xdr:colOff>373380</xdr:colOff>
      <xdr:row>11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E1B96B8-BAB0-B4BB-4703-5629B04D0E6E}"/>
            </a:ext>
          </a:extLst>
        </xdr:cNvPr>
        <xdr:cNvSpPr/>
      </xdr:nvSpPr>
      <xdr:spPr>
        <a:xfrm>
          <a:off x="1005840" y="1051560"/>
          <a:ext cx="3025140" cy="98298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latin typeface="Forte" panose="03060902040502070203" pitchFamily="66" charset="0"/>
            </a:rPr>
            <a:t>NET REVENUE</a:t>
          </a:r>
        </a:p>
        <a:p>
          <a:pPr algn="ctr"/>
          <a:r>
            <a:rPr lang="en-IN" sz="2000" b="1">
              <a:latin typeface="Forte" panose="03060902040502070203" pitchFamily="66" charset="0"/>
            </a:rPr>
            <a:t>12,30,339</a:t>
          </a:r>
        </a:p>
      </xdr:txBody>
    </xdr:sp>
    <xdr:clientData/>
  </xdr:twoCellAnchor>
  <xdr:twoCellAnchor>
    <xdr:from>
      <xdr:col>8</xdr:col>
      <xdr:colOff>403860</xdr:colOff>
      <xdr:row>6</xdr:row>
      <xdr:rowOff>15240</xdr:rowOff>
    </xdr:from>
    <xdr:to>
      <xdr:col>13</xdr:col>
      <xdr:colOff>129540</xdr:colOff>
      <xdr:row>11</xdr:row>
      <xdr:rowOff>22860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486715E-3191-5FC6-85F9-15553277903B}"/>
            </a:ext>
          </a:extLst>
        </xdr:cNvPr>
        <xdr:cNvSpPr/>
      </xdr:nvSpPr>
      <xdr:spPr>
        <a:xfrm>
          <a:off x="5280660" y="1112520"/>
          <a:ext cx="2773680" cy="92202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latin typeface="Forte" panose="03060902040502070203" pitchFamily="66" charset="0"/>
            </a:rPr>
            <a:t>TOTAL ORDERS</a:t>
          </a:r>
        </a:p>
        <a:p>
          <a:pPr algn="ctr"/>
          <a:r>
            <a:rPr lang="en-IN" sz="2000" b="1">
              <a:latin typeface="Forte" panose="03060902040502070203" pitchFamily="66" charset="0"/>
            </a:rPr>
            <a:t>100 </a:t>
          </a:r>
        </a:p>
      </xdr:txBody>
    </xdr:sp>
    <xdr:clientData/>
  </xdr:twoCellAnchor>
  <xdr:twoCellAnchor>
    <xdr:from>
      <xdr:col>14</xdr:col>
      <xdr:colOff>571500</xdr:colOff>
      <xdr:row>5</xdr:row>
      <xdr:rowOff>167640</xdr:rowOff>
    </xdr:from>
    <xdr:to>
      <xdr:col>19</xdr:col>
      <xdr:colOff>381000</xdr:colOff>
      <xdr:row>11</xdr:row>
      <xdr:rowOff>68580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B2647DB-9729-E33D-A261-B159A3AD50F1}"/>
            </a:ext>
          </a:extLst>
        </xdr:cNvPr>
        <xdr:cNvSpPr/>
      </xdr:nvSpPr>
      <xdr:spPr>
        <a:xfrm>
          <a:off x="9105900" y="1082040"/>
          <a:ext cx="2857500" cy="99822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latin typeface="Forte" panose="03060902040502070203" pitchFamily="66" charset="0"/>
            </a:rPr>
            <a:t>AVG ORDER VALUE</a:t>
          </a:r>
        </a:p>
        <a:p>
          <a:pPr algn="ctr"/>
          <a:r>
            <a:rPr lang="en-IN" sz="2000" b="1">
              <a:latin typeface="Forte" panose="03060902040502070203" pitchFamily="66" charset="0"/>
            </a:rPr>
            <a:t>12,303.39</a:t>
          </a:r>
        </a:p>
      </xdr:txBody>
    </xdr:sp>
    <xdr:clientData/>
  </xdr:twoCellAnchor>
  <xdr:twoCellAnchor>
    <xdr:from>
      <xdr:col>0</xdr:col>
      <xdr:colOff>243840</xdr:colOff>
      <xdr:row>13</xdr:row>
      <xdr:rowOff>38100</xdr:rowOff>
    </xdr:from>
    <xdr:to>
      <xdr:col>7</xdr:col>
      <xdr:colOff>371610</xdr:colOff>
      <xdr:row>27</xdr:row>
      <xdr:rowOff>30864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C308EA-74B1-4F09-88B1-A892EBC11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13</xdr:row>
      <xdr:rowOff>30480</xdr:rowOff>
    </xdr:from>
    <xdr:to>
      <xdr:col>14</xdr:col>
      <xdr:colOff>251460</xdr:colOff>
      <xdr:row>27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D6369B-CA96-498C-AAA4-3F277D67C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144780</xdr:colOff>
      <xdr:row>13</xdr:row>
      <xdr:rowOff>99060</xdr:rowOff>
    </xdr:from>
    <xdr:to>
      <xdr:col>22</xdr:col>
      <xdr:colOff>121920</xdr:colOff>
      <xdr:row>27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3497E5-BBA6-4060-8801-5E52461FD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30479</xdr:colOff>
      <xdr:row>2</xdr:row>
      <xdr:rowOff>45720</xdr:rowOff>
    </xdr:from>
    <xdr:to>
      <xdr:col>14</xdr:col>
      <xdr:colOff>449658</xdr:colOff>
      <xdr:row>3</xdr:row>
      <xdr:rowOff>152400</xdr:rowOff>
    </xdr:to>
    <xdr:pic>
      <xdr:nvPicPr>
        <xdr:cNvPr id="5" name="Graphic 4" descr="Bar chart with solid fill">
          <a:extLst>
            <a:ext uri="{FF2B5EF4-FFF2-40B4-BE49-F238E27FC236}">
              <a16:creationId xmlns:a16="http://schemas.microsoft.com/office/drawing/2014/main" id="{D8010568-0253-642A-8250-DF8D9A397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64879" y="411480"/>
          <a:ext cx="419179" cy="289560"/>
        </a:xfrm>
        <a:prstGeom prst="rect">
          <a:avLst/>
        </a:prstGeom>
      </xdr:spPr>
    </xdr:pic>
    <xdr:clientData/>
  </xdr:twoCellAnchor>
  <xdr:twoCellAnchor editAs="oneCell">
    <xdr:from>
      <xdr:col>5</xdr:col>
      <xdr:colOff>28481</xdr:colOff>
      <xdr:row>7</xdr:row>
      <xdr:rowOff>167640</xdr:rowOff>
    </xdr:from>
    <xdr:to>
      <xdr:col>6</xdr:col>
      <xdr:colOff>3497</xdr:colOff>
      <xdr:row>9</xdr:row>
      <xdr:rowOff>144780</xdr:rowOff>
    </xdr:to>
    <xdr:pic>
      <xdr:nvPicPr>
        <xdr:cNvPr id="13" name="Graphic 12" descr="Coins with solid fill">
          <a:extLst>
            <a:ext uri="{FF2B5EF4-FFF2-40B4-BE49-F238E27FC236}">
              <a16:creationId xmlns:a16="http://schemas.microsoft.com/office/drawing/2014/main" id="{789B9BB9-BF79-0D79-1496-DCB47BCC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76481" y="1447800"/>
          <a:ext cx="584616" cy="34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182880</xdr:colOff>
      <xdr:row>7</xdr:row>
      <xdr:rowOff>144780</xdr:rowOff>
    </xdr:from>
    <xdr:to>
      <xdr:col>13</xdr:col>
      <xdr:colOff>83820</xdr:colOff>
      <xdr:row>10</xdr:row>
      <xdr:rowOff>7620</xdr:rowOff>
    </xdr:to>
    <xdr:pic>
      <xdr:nvPicPr>
        <xdr:cNvPr id="15" name="Graphic 14" descr="Shopping cart with solid fill">
          <a:extLst>
            <a:ext uri="{FF2B5EF4-FFF2-40B4-BE49-F238E27FC236}">
              <a16:creationId xmlns:a16="http://schemas.microsoft.com/office/drawing/2014/main" id="{25E40C76-7F7F-07A8-3669-D337B4B5A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498080" y="1424940"/>
          <a:ext cx="510540" cy="411480"/>
        </a:xfrm>
        <a:prstGeom prst="rect">
          <a:avLst/>
        </a:prstGeom>
      </xdr:spPr>
    </xdr:pic>
    <xdr:clientData/>
  </xdr:twoCellAnchor>
  <xdr:twoCellAnchor editAs="oneCell">
    <xdr:from>
      <xdr:col>18</xdr:col>
      <xdr:colOff>373382</xdr:colOff>
      <xdr:row>7</xdr:row>
      <xdr:rowOff>15239</xdr:rowOff>
    </xdr:from>
    <xdr:to>
      <xdr:col>19</xdr:col>
      <xdr:colOff>457202</xdr:colOff>
      <xdr:row>11</xdr:row>
      <xdr:rowOff>68579</xdr:rowOff>
    </xdr:to>
    <xdr:pic>
      <xdr:nvPicPr>
        <xdr:cNvPr id="17" name="Graphic 16" descr="A calculator">
          <a:extLst>
            <a:ext uri="{FF2B5EF4-FFF2-40B4-BE49-F238E27FC236}">
              <a16:creationId xmlns:a16="http://schemas.microsoft.com/office/drawing/2014/main" id="{6B501883-D46E-A3F5-EC8E-0901C30B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 rot="468619">
          <a:off x="11346182" y="1295399"/>
          <a:ext cx="693420" cy="7848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Hp" refreshedDate="46239.49310428241" createdVersion="8" refreshedVersion="8" minRefreshableVersion="3" recordCount="100" xr:uid="{FE3B19D9-401A-46AC-9C72-2AB74E2B56CD}">
  <cacheSource type="worksheet">
    <worksheetSource name="Table1_1"/>
  </cacheSource>
  <cacheFields count="16">
    <cacheField name="Order ID" numFmtId="0">
      <sharedItems containsSemiMixedTypes="0" containsString="0" containsNumber="1" containsInteger="1" minValue="1002" maxValue="1101"/>
    </cacheField>
    <cacheField name="Order Date" numFmtId="14">
      <sharedItems containsSemiMixedTypes="0" containsNonDate="0" containsDate="1" containsString="0" minDate="2026-01-03T00:00:00" maxDate="2026-07-01T00:00:00"/>
    </cacheField>
    <cacheField name="Customer Name" numFmtId="0">
      <sharedItems/>
    </cacheField>
    <cacheField name="City" numFmtId="0">
      <sharedItems count="5">
        <s v="Kannur"/>
        <s v="Calicut"/>
        <s v="Thrissur"/>
        <s v="Trivandrum"/>
        <s v="Kochi"/>
      </sharedItems>
    </cacheField>
    <cacheField name="Department" numFmtId="0">
      <sharedItems count="3">
        <s v="Office Supplies"/>
        <s v="Furniture"/>
        <s v="Electronics"/>
      </sharedItems>
    </cacheField>
    <cacheField name="Product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310" maxValue="4928"/>
    </cacheField>
    <cacheField name="Total Sales" numFmtId="0">
      <sharedItems containsSemiMixedTypes="0" containsString="0" containsNumber="1" containsInteger="1" minValue="319" maxValue="44352"/>
    </cacheField>
    <cacheField name="Discount %" numFmtId="0">
      <sharedItems containsSemiMixedTypes="0" containsString="0" containsNumber="1" containsInteger="1" minValue="0" maxValue="15"/>
    </cacheField>
    <cacheField name="Discount Amt" numFmtId="0">
      <sharedItems containsSemiMixedTypes="0" containsString="0" containsNumber="1" minValue="0" maxValue="6216"/>
    </cacheField>
    <cacheField name="After discount   Amt" numFmtId="0">
      <sharedItems containsSemiMixedTypes="0" containsString="0" containsNumber="1" minValue="300.05" maxValue="44352"/>
    </cacheField>
    <cacheField name="Status " numFmtId="0">
      <sharedItems count="2">
        <s v="pending"/>
        <s v="completed"/>
      </sharedItems>
    </cacheField>
    <cacheField name="Payment Method" numFmtId="0">
      <sharedItems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2"/>
    <d v="2026-04-25T00:00:00"/>
    <s v="Customer 1"/>
    <x v="0"/>
    <x v="0"/>
    <s v="Notebook"/>
    <s v="Aisha"/>
    <n v="6"/>
    <n v="4924"/>
    <n v="29544"/>
    <n v="0"/>
    <n v="0"/>
    <n v="29544"/>
    <x v="0"/>
    <s v="Upi"/>
    <s v="Repeat Customer"/>
  </r>
  <r>
    <n v="1003"/>
    <d v="2026-03-21T00:00:00"/>
    <s v="Customer 2"/>
    <x v="0"/>
    <x v="0"/>
    <s v="Notebook"/>
    <s v="Aisha"/>
    <n v="2"/>
    <n v="3788"/>
    <n v="7576"/>
    <n v="15"/>
    <n v="1136.4000000000001"/>
    <n v="6439.6"/>
    <x v="0"/>
    <s v="Upi"/>
    <s v="NO Remarks"/>
  </r>
  <r>
    <n v="1004"/>
    <d v="2026-06-23T00:00:00"/>
    <s v="Customer 3"/>
    <x v="1"/>
    <x v="1"/>
    <s v="Chair"/>
    <s v="Neha"/>
    <n v="9"/>
    <n v="636"/>
    <n v="5724"/>
    <n v="5"/>
    <n v="286.2"/>
    <n v="5437.8"/>
    <x v="1"/>
    <s v="Card"/>
    <s v="NO Remarks"/>
  </r>
  <r>
    <n v="1005"/>
    <d v="2026-03-20T00:00:00"/>
    <s v="Customer 4"/>
    <x v="2"/>
    <x v="1"/>
    <s v="Desk"/>
    <s v="Neha"/>
    <n v="5"/>
    <n v="4721"/>
    <n v="23605"/>
    <n v="5"/>
    <n v="1180.25"/>
    <n v="22424.75"/>
    <x v="1"/>
    <s v="Cash"/>
    <s v="Repeat Customer"/>
  </r>
  <r>
    <n v="1006"/>
    <d v="2026-03-10T00:00:00"/>
    <s v="Customer 5"/>
    <x v="3"/>
    <x v="2"/>
    <s v="Keyboard"/>
    <s v="Aisha"/>
    <n v="5"/>
    <n v="310"/>
    <n v="1550"/>
    <n v="10"/>
    <n v="155"/>
    <n v="1395"/>
    <x v="0"/>
    <s v="Cash"/>
    <s v="Repeat Customer"/>
  </r>
  <r>
    <n v="1007"/>
    <d v="2026-05-28T00:00:00"/>
    <s v="Customer 6"/>
    <x v="1"/>
    <x v="2"/>
    <s v="Mouse"/>
    <s v="Arun"/>
    <n v="4"/>
    <n v="1365"/>
    <n v="5460"/>
    <n v="5"/>
    <n v="273"/>
    <n v="5187"/>
    <x v="1"/>
    <s v="Card"/>
    <s v="Urgent"/>
  </r>
  <r>
    <n v="1008"/>
    <d v="2026-06-21T00:00:00"/>
    <s v="Customer 7"/>
    <x v="4"/>
    <x v="1"/>
    <s v="Chair"/>
    <s v="Arun"/>
    <n v="4"/>
    <n v="3367"/>
    <n v="13468"/>
    <n v="5"/>
    <n v="673.4"/>
    <n v="12794.6"/>
    <x v="0"/>
    <s v="Card"/>
    <s v="Repeat Customer"/>
  </r>
  <r>
    <n v="1009"/>
    <d v="2026-02-27T00:00:00"/>
    <s v="Customer 8"/>
    <x v="1"/>
    <x v="0"/>
    <s v="Pen Set"/>
    <s v="Rahul"/>
    <n v="7"/>
    <n v="635"/>
    <n v="4445"/>
    <n v="10"/>
    <n v="444.5"/>
    <n v="4000.5"/>
    <x v="1"/>
    <s v="Cash"/>
    <s v="Repeat Customer"/>
  </r>
  <r>
    <n v="1010"/>
    <d v="2026-02-22T00:00:00"/>
    <s v="Customer 9"/>
    <x v="4"/>
    <x v="0"/>
    <s v="Pen Set"/>
    <s v="Arun"/>
    <n v="2"/>
    <n v="931"/>
    <n v="1862"/>
    <n v="10"/>
    <n v="186.2"/>
    <n v="1675.8"/>
    <x v="1"/>
    <s v="Cash"/>
    <s v="New Lead"/>
  </r>
  <r>
    <n v="1011"/>
    <d v="2026-02-14T00:00:00"/>
    <s v="Customer 10"/>
    <x v="0"/>
    <x v="0"/>
    <s v="Notebook"/>
    <s v="Arun"/>
    <n v="2"/>
    <n v="1634"/>
    <n v="3268"/>
    <n v="15"/>
    <n v="490.2"/>
    <n v="2777.8"/>
    <x v="1"/>
    <s v="Card"/>
    <s v="NO Remarks"/>
  </r>
  <r>
    <n v="1012"/>
    <d v="2026-02-23T00:00:00"/>
    <s v="Customer 11"/>
    <x v="1"/>
    <x v="1"/>
    <s v="Desk"/>
    <s v="Rahul"/>
    <n v="7"/>
    <n v="4252"/>
    <n v="29764"/>
    <n v="15"/>
    <n v="4464.6000000000004"/>
    <n v="25299.4"/>
    <x v="1"/>
    <s v="Upi"/>
    <s v="NO Remarks"/>
  </r>
  <r>
    <n v="1013"/>
    <d v="2026-06-16T00:00:00"/>
    <s v="Customer 12"/>
    <x v="1"/>
    <x v="0"/>
    <s v="Notebook"/>
    <s v="Aisha"/>
    <n v="2"/>
    <n v="2374"/>
    <n v="4748"/>
    <n v="10"/>
    <n v="474.8"/>
    <n v="4273.2"/>
    <x v="0"/>
    <s v="Cash"/>
    <s v="NO Remarks"/>
  </r>
  <r>
    <n v="1014"/>
    <d v="2026-06-20T00:00:00"/>
    <s v="Customer 13"/>
    <x v="4"/>
    <x v="0"/>
    <s v="Notebook"/>
    <s v="Aisha"/>
    <n v="5"/>
    <n v="1612"/>
    <n v="8060"/>
    <n v="5"/>
    <n v="403"/>
    <n v="7657"/>
    <x v="1"/>
    <s v="Card"/>
    <s v="Urgent"/>
  </r>
  <r>
    <n v="1015"/>
    <d v="2026-06-09T00:00:00"/>
    <s v="Customer 14"/>
    <x v="1"/>
    <x v="2"/>
    <s v="Laptop"/>
    <s v="Rahul"/>
    <n v="10"/>
    <n v="1044"/>
    <n v="10440"/>
    <n v="15"/>
    <n v="1566"/>
    <n v="8874"/>
    <x v="0"/>
    <s v="Card"/>
    <s v="Repeat Customer"/>
  </r>
  <r>
    <n v="1016"/>
    <d v="2026-04-01T00:00:00"/>
    <s v="Customer 15"/>
    <x v="4"/>
    <x v="2"/>
    <s v="Laptop"/>
    <s v="Rahul"/>
    <n v="9"/>
    <n v="3043"/>
    <n v="27387"/>
    <n v="10"/>
    <n v="2738.7"/>
    <n v="24648.3"/>
    <x v="1"/>
    <s v="Cash"/>
    <s v="NO Remarks"/>
  </r>
  <r>
    <n v="1017"/>
    <d v="2026-06-24T00:00:00"/>
    <s v="Customer 16"/>
    <x v="0"/>
    <x v="0"/>
    <s v="Notebook"/>
    <s v="Aisha"/>
    <n v="1"/>
    <n v="319"/>
    <n v="319"/>
    <n v="5"/>
    <n v="15.95"/>
    <n v="303.05"/>
    <x v="1"/>
    <s v="Cash"/>
    <s v="Urgent"/>
  </r>
  <r>
    <n v="1018"/>
    <d v="2026-02-10T00:00:00"/>
    <s v="Customer 17"/>
    <x v="0"/>
    <x v="0"/>
    <s v="Notebook"/>
    <s v="Rahul"/>
    <n v="8"/>
    <n v="4177"/>
    <n v="33416"/>
    <n v="0"/>
    <n v="0"/>
    <n v="33416"/>
    <x v="0"/>
    <s v="Upi"/>
    <s v="Urgent"/>
  </r>
  <r>
    <n v="1019"/>
    <d v="2026-03-18T00:00:00"/>
    <s v="Customer 18"/>
    <x v="1"/>
    <x v="1"/>
    <s v="Chair"/>
    <s v="Rahul"/>
    <n v="4"/>
    <n v="3996"/>
    <n v="15984"/>
    <n v="5"/>
    <n v="799.2"/>
    <n v="15184.8"/>
    <x v="1"/>
    <s v="Card"/>
    <s v="Urgent"/>
  </r>
  <r>
    <n v="1020"/>
    <d v="2026-04-14T00:00:00"/>
    <s v="Customer 19"/>
    <x v="0"/>
    <x v="2"/>
    <s v="Laptop"/>
    <s v="Aisha"/>
    <n v="5"/>
    <n v="1889"/>
    <n v="9445"/>
    <n v="10"/>
    <n v="944.5"/>
    <n v="8500.5"/>
    <x v="0"/>
    <s v="Cash"/>
    <s v="New Lead"/>
  </r>
  <r>
    <n v="1021"/>
    <d v="2026-05-23T00:00:00"/>
    <s v="Customer 20"/>
    <x v="2"/>
    <x v="0"/>
    <s v="Pen Set"/>
    <s v="Neha"/>
    <n v="10"/>
    <n v="1883"/>
    <n v="18830"/>
    <n v="0"/>
    <n v="0"/>
    <n v="18830"/>
    <x v="0"/>
    <s v="Cash"/>
    <s v="Urgent"/>
  </r>
  <r>
    <n v="1022"/>
    <d v="2026-02-28T00:00:00"/>
    <s v="Customer 21"/>
    <x v="0"/>
    <x v="1"/>
    <s v="Chair"/>
    <s v="Neha"/>
    <n v="3"/>
    <n v="3962"/>
    <n v="11886"/>
    <n v="5"/>
    <n v="594.29999999999995"/>
    <n v="11291.7"/>
    <x v="0"/>
    <s v="Cash"/>
    <s v="Urgent"/>
  </r>
  <r>
    <n v="1023"/>
    <d v="2026-05-04T00:00:00"/>
    <s v="Customer 22"/>
    <x v="0"/>
    <x v="0"/>
    <s v="Pen Set"/>
    <s v="Neha"/>
    <n v="2"/>
    <n v="1153"/>
    <n v="2306"/>
    <n v="0"/>
    <n v="0"/>
    <n v="2306"/>
    <x v="0"/>
    <s v="Upi"/>
    <s v="New Lead"/>
  </r>
  <r>
    <n v="1024"/>
    <d v="2026-02-22T00:00:00"/>
    <s v="Customer 23"/>
    <x v="1"/>
    <x v="1"/>
    <s v="Chair"/>
    <s v="Rahul"/>
    <n v="6"/>
    <n v="2809"/>
    <n v="16854"/>
    <n v="5"/>
    <n v="842.7"/>
    <n v="16011.3"/>
    <x v="1"/>
    <s v="Upi"/>
    <s v="Repeat Customer"/>
  </r>
  <r>
    <n v="1025"/>
    <d v="2026-04-17T00:00:00"/>
    <s v="Customer 24"/>
    <x v="1"/>
    <x v="2"/>
    <s v="Keyboard"/>
    <s v="Arun"/>
    <n v="4"/>
    <n v="2307"/>
    <n v="9228"/>
    <n v="10"/>
    <n v="922.8"/>
    <n v="8305.2000000000007"/>
    <x v="0"/>
    <s v="Upi"/>
    <s v="Urgent"/>
  </r>
  <r>
    <n v="1026"/>
    <d v="2026-01-08T00:00:00"/>
    <s v="Customer 25"/>
    <x v="1"/>
    <x v="1"/>
    <s v="Desk"/>
    <s v="Aisha"/>
    <n v="2"/>
    <n v="1874"/>
    <n v="3748"/>
    <n v="0"/>
    <n v="0"/>
    <n v="3748"/>
    <x v="0"/>
    <s v="Card"/>
    <s v="NO Remarks"/>
  </r>
  <r>
    <n v="1027"/>
    <d v="2026-02-22T00:00:00"/>
    <s v="Customer 26"/>
    <x v="3"/>
    <x v="0"/>
    <s v="Notebook"/>
    <s v="Aisha"/>
    <n v="9"/>
    <n v="2591"/>
    <n v="23319"/>
    <n v="10"/>
    <n v="2331.9"/>
    <n v="20987.1"/>
    <x v="0"/>
    <s v="Cash"/>
    <s v="New Lead"/>
  </r>
  <r>
    <n v="1028"/>
    <d v="2026-05-11T00:00:00"/>
    <s v="Customer 27"/>
    <x v="4"/>
    <x v="2"/>
    <s v="Laptop"/>
    <s v="Arun"/>
    <n v="10"/>
    <n v="2973"/>
    <n v="29730"/>
    <n v="5"/>
    <n v="1486.5"/>
    <n v="28243.5"/>
    <x v="0"/>
    <s v="Card"/>
    <s v="New Lead"/>
  </r>
  <r>
    <n v="1029"/>
    <d v="2026-04-10T00:00:00"/>
    <s v="Customer 28"/>
    <x v="1"/>
    <x v="0"/>
    <s v="Notebook"/>
    <s v="Arun"/>
    <n v="1"/>
    <n v="1713"/>
    <n v="1713"/>
    <n v="0"/>
    <n v="0"/>
    <n v="1713"/>
    <x v="1"/>
    <s v="Card"/>
    <s v="Repeat Customer"/>
  </r>
  <r>
    <n v="1030"/>
    <d v="2026-05-21T00:00:00"/>
    <s v="Customer 29"/>
    <x v="1"/>
    <x v="1"/>
    <s v="Desk"/>
    <s v="Rahul"/>
    <n v="2"/>
    <n v="4916"/>
    <n v="9832"/>
    <n v="5"/>
    <n v="491.6"/>
    <n v="9340.4"/>
    <x v="1"/>
    <s v="Upi"/>
    <s v="New Lead"/>
  </r>
  <r>
    <n v="1031"/>
    <d v="2026-02-08T00:00:00"/>
    <s v="Customer 30"/>
    <x v="2"/>
    <x v="1"/>
    <s v="Desk"/>
    <s v="Rahul"/>
    <n v="7"/>
    <n v="2683"/>
    <n v="18781"/>
    <n v="10"/>
    <n v="1878.1"/>
    <n v="16902.900000000001"/>
    <x v="0"/>
    <s v="Upi"/>
    <s v="NO Remarks"/>
  </r>
  <r>
    <n v="1032"/>
    <d v="2026-04-10T00:00:00"/>
    <s v="Customer 31"/>
    <x v="3"/>
    <x v="0"/>
    <s v="Pen Set"/>
    <s v="Arun"/>
    <n v="10"/>
    <n v="4144"/>
    <n v="41440"/>
    <n v="15"/>
    <n v="6216"/>
    <n v="35224"/>
    <x v="0"/>
    <s v="Cash"/>
    <s v="Urgent"/>
  </r>
  <r>
    <n v="1033"/>
    <d v="2026-04-21T00:00:00"/>
    <s v="Customer 32"/>
    <x v="3"/>
    <x v="2"/>
    <s v="Mouse"/>
    <s v="Neha"/>
    <n v="7"/>
    <n v="4072"/>
    <n v="28504"/>
    <n v="15"/>
    <n v="4275.6000000000004"/>
    <n v="24228.400000000001"/>
    <x v="0"/>
    <s v="Upi"/>
    <s v="NO Remarks"/>
  </r>
  <r>
    <n v="1034"/>
    <d v="2026-02-04T00:00:00"/>
    <s v="Customer 33"/>
    <x v="1"/>
    <x v="1"/>
    <s v="Desk"/>
    <s v="Rahul"/>
    <n v="9"/>
    <n v="2346"/>
    <n v="21114"/>
    <n v="15"/>
    <n v="3167.1"/>
    <n v="17946.900000000001"/>
    <x v="1"/>
    <s v="Card"/>
    <s v="Repeat Customer"/>
  </r>
  <r>
    <n v="1035"/>
    <d v="2026-01-23T00:00:00"/>
    <s v="Customer 34"/>
    <x v="3"/>
    <x v="0"/>
    <s v="Pen Set"/>
    <s v="Rahul"/>
    <n v="2"/>
    <n v="546"/>
    <n v="1092"/>
    <n v="5"/>
    <n v="54.6"/>
    <n v="1037.4000000000001"/>
    <x v="0"/>
    <s v="Card"/>
    <s v="Repeat Customer"/>
  </r>
  <r>
    <n v="1036"/>
    <d v="2026-04-01T00:00:00"/>
    <s v="Customer 35"/>
    <x v="2"/>
    <x v="2"/>
    <s v="Laptop"/>
    <s v="Arun"/>
    <n v="10"/>
    <n v="705"/>
    <n v="7050"/>
    <n v="0"/>
    <n v="0"/>
    <n v="7050"/>
    <x v="1"/>
    <s v="Card"/>
    <s v="Urgent"/>
  </r>
  <r>
    <n v="1037"/>
    <d v="2026-04-29T00:00:00"/>
    <s v="Customer 36"/>
    <x v="2"/>
    <x v="0"/>
    <s v="Notebook"/>
    <s v="Aisha"/>
    <n v="4"/>
    <n v="2514"/>
    <n v="10056"/>
    <n v="0"/>
    <n v="0"/>
    <n v="10056"/>
    <x v="1"/>
    <s v="Upi"/>
    <s v="New Lead"/>
  </r>
  <r>
    <n v="1038"/>
    <d v="2026-06-09T00:00:00"/>
    <s v="Customer 37"/>
    <x v="4"/>
    <x v="2"/>
    <s v="Laptop"/>
    <s v="Neha"/>
    <n v="6"/>
    <n v="1188"/>
    <n v="7128"/>
    <n v="0"/>
    <n v="0"/>
    <n v="7128"/>
    <x v="1"/>
    <s v="Cash"/>
    <s v="Urgent"/>
  </r>
  <r>
    <n v="1039"/>
    <d v="2026-03-06T00:00:00"/>
    <s v="Customer 38"/>
    <x v="4"/>
    <x v="0"/>
    <s v="Pen Set"/>
    <s v="Arun"/>
    <n v="6"/>
    <n v="4718"/>
    <n v="28308"/>
    <n v="5"/>
    <n v="1415.4"/>
    <n v="26892.6"/>
    <x v="1"/>
    <s v="Cash"/>
    <s v="Urgent"/>
  </r>
  <r>
    <n v="1040"/>
    <d v="2026-06-08T00:00:00"/>
    <s v="Customer 39"/>
    <x v="2"/>
    <x v="2"/>
    <s v="Keyboard"/>
    <s v="Arun"/>
    <n v="8"/>
    <n v="565"/>
    <n v="4520"/>
    <n v="15"/>
    <n v="678"/>
    <n v="3842"/>
    <x v="1"/>
    <s v="Cash"/>
    <s v="Urgent"/>
  </r>
  <r>
    <n v="1041"/>
    <d v="2026-02-10T00:00:00"/>
    <s v="Customer 40"/>
    <x v="2"/>
    <x v="2"/>
    <s v="Keyboard"/>
    <s v="Aisha"/>
    <n v="3"/>
    <n v="4102"/>
    <n v="12306"/>
    <n v="5"/>
    <n v="615.29999999999995"/>
    <n v="11690.7"/>
    <x v="1"/>
    <s v="Upi"/>
    <s v="Repeat Customer"/>
  </r>
  <r>
    <n v="1042"/>
    <d v="2026-01-30T00:00:00"/>
    <s v="Customer 41"/>
    <x v="1"/>
    <x v="0"/>
    <s v="Pen Set"/>
    <s v="Aisha"/>
    <n v="4"/>
    <n v="713"/>
    <n v="2852"/>
    <n v="15"/>
    <n v="427.8"/>
    <n v="2424.1999999999998"/>
    <x v="0"/>
    <s v="Upi"/>
    <s v="New Lead"/>
  </r>
  <r>
    <n v="1043"/>
    <d v="2026-05-14T00:00:00"/>
    <s v="Customer 42"/>
    <x v="0"/>
    <x v="0"/>
    <s v="Pen Set"/>
    <s v="Neha"/>
    <n v="5"/>
    <n v="2283"/>
    <n v="11415"/>
    <n v="15"/>
    <n v="1712.25"/>
    <n v="9702.75"/>
    <x v="1"/>
    <s v="Card"/>
    <s v="Urgent"/>
  </r>
  <r>
    <n v="1044"/>
    <d v="2026-02-25T00:00:00"/>
    <s v="Customer 43"/>
    <x v="0"/>
    <x v="2"/>
    <s v="Mouse"/>
    <s v="Rahul"/>
    <n v="8"/>
    <n v="1957"/>
    <n v="15656"/>
    <n v="10"/>
    <n v="1565.6"/>
    <n v="14090.4"/>
    <x v="1"/>
    <s v="Upi"/>
    <s v="Repeat Customer"/>
  </r>
  <r>
    <n v="1045"/>
    <d v="2026-01-24T00:00:00"/>
    <s v="Customer 44"/>
    <x v="4"/>
    <x v="1"/>
    <s v="Chair"/>
    <s v="Rahul"/>
    <n v="10"/>
    <n v="2544"/>
    <n v="25440"/>
    <n v="5"/>
    <n v="1272"/>
    <n v="24168"/>
    <x v="1"/>
    <s v="Upi"/>
    <s v="NO Remarks"/>
  </r>
  <r>
    <n v="1046"/>
    <d v="2026-06-07T00:00:00"/>
    <s v="Customer 45"/>
    <x v="2"/>
    <x v="1"/>
    <s v="Chair"/>
    <s v="Arun"/>
    <n v="1"/>
    <n v="353"/>
    <n v="353"/>
    <n v="15"/>
    <n v="52.95"/>
    <n v="300.05"/>
    <x v="1"/>
    <s v="Card"/>
    <s v="Urgent"/>
  </r>
  <r>
    <n v="1047"/>
    <d v="2026-05-20T00:00:00"/>
    <s v="Customer 46"/>
    <x v="3"/>
    <x v="1"/>
    <s v="Desk"/>
    <s v="Rahul"/>
    <n v="9"/>
    <n v="4928"/>
    <n v="44352"/>
    <n v="0"/>
    <n v="0"/>
    <n v="44352"/>
    <x v="0"/>
    <s v="Upi"/>
    <s v="Urgent"/>
  </r>
  <r>
    <n v="1048"/>
    <d v="2026-02-25T00:00:00"/>
    <s v="Customer 47"/>
    <x v="2"/>
    <x v="0"/>
    <s v="Notebook"/>
    <s v="Rahul"/>
    <n v="9"/>
    <n v="1271"/>
    <n v="11439"/>
    <n v="15"/>
    <n v="1715.85"/>
    <n v="9723.15"/>
    <x v="0"/>
    <s v="Upi"/>
    <s v="New Lead"/>
  </r>
  <r>
    <n v="1049"/>
    <d v="2026-01-30T00:00:00"/>
    <s v="Customer 48"/>
    <x v="4"/>
    <x v="0"/>
    <s v="Notebook"/>
    <s v="Arun"/>
    <n v="6"/>
    <n v="4683"/>
    <n v="28098"/>
    <n v="15"/>
    <n v="4214.7"/>
    <n v="23883.3"/>
    <x v="1"/>
    <s v="Card"/>
    <s v="NO Remarks"/>
  </r>
  <r>
    <n v="1050"/>
    <d v="2026-06-16T00:00:00"/>
    <s v="Customer 49"/>
    <x v="2"/>
    <x v="1"/>
    <s v="Chair"/>
    <s v="Rahul"/>
    <n v="7"/>
    <n v="2360"/>
    <n v="16520"/>
    <n v="10"/>
    <n v="1652"/>
    <n v="14868"/>
    <x v="0"/>
    <s v="Card"/>
    <s v="New Lead"/>
  </r>
  <r>
    <n v="1051"/>
    <d v="2026-02-01T00:00:00"/>
    <s v="Customer 50"/>
    <x v="4"/>
    <x v="1"/>
    <s v="Chair"/>
    <s v="Rahul"/>
    <n v="10"/>
    <n v="385"/>
    <n v="3850"/>
    <n v="0"/>
    <n v="0"/>
    <n v="3850"/>
    <x v="1"/>
    <s v="Card"/>
    <s v="NO Remarks"/>
  </r>
  <r>
    <n v="1052"/>
    <d v="2026-03-29T00:00:00"/>
    <s v="Customer 51"/>
    <x v="4"/>
    <x v="1"/>
    <s v="Chair"/>
    <s v="Aisha"/>
    <n v="5"/>
    <n v="1649"/>
    <n v="8245"/>
    <n v="5"/>
    <n v="412.25"/>
    <n v="7832.75"/>
    <x v="0"/>
    <s v="Card"/>
    <s v="New Lead"/>
  </r>
  <r>
    <n v="1053"/>
    <d v="2026-01-11T00:00:00"/>
    <s v="Customer 52"/>
    <x v="1"/>
    <x v="2"/>
    <s v="Keyboard"/>
    <s v="Aisha"/>
    <n v="7"/>
    <n v="4810"/>
    <n v="33670"/>
    <n v="0"/>
    <n v="0"/>
    <n v="33670"/>
    <x v="0"/>
    <s v="Cash"/>
    <s v="New Lead"/>
  </r>
  <r>
    <n v="1054"/>
    <d v="2026-05-04T00:00:00"/>
    <s v="Customer 53"/>
    <x v="1"/>
    <x v="1"/>
    <s v="Desk"/>
    <s v="Neha"/>
    <n v="7"/>
    <n v="1749"/>
    <n v="12243"/>
    <n v="15"/>
    <n v="1836.45"/>
    <n v="10406.549999999999"/>
    <x v="0"/>
    <s v="Upi"/>
    <s v="New Lead"/>
  </r>
  <r>
    <n v="1055"/>
    <d v="2026-06-30T00:00:00"/>
    <s v="Customer 54"/>
    <x v="4"/>
    <x v="0"/>
    <s v="Notebook"/>
    <s v="Rahul"/>
    <n v="8"/>
    <n v="1461"/>
    <n v="11688"/>
    <n v="10"/>
    <n v="1168.8"/>
    <n v="10519.2"/>
    <x v="0"/>
    <s v="Cash"/>
    <s v="NO Remarks"/>
  </r>
  <r>
    <n v="1056"/>
    <d v="2026-02-13T00:00:00"/>
    <s v="Customer 55"/>
    <x v="3"/>
    <x v="1"/>
    <s v="Desk"/>
    <s v="Aisha"/>
    <n v="1"/>
    <n v="941"/>
    <n v="941"/>
    <n v="0"/>
    <n v="0"/>
    <n v="941"/>
    <x v="0"/>
    <s v="Upi"/>
    <s v="NO Remarks"/>
  </r>
  <r>
    <n v="1057"/>
    <d v="2026-05-21T00:00:00"/>
    <s v="Customer 56"/>
    <x v="4"/>
    <x v="1"/>
    <s v="Chair"/>
    <s v="Aisha"/>
    <n v="3"/>
    <n v="1245"/>
    <n v="3735"/>
    <n v="0"/>
    <n v="0"/>
    <n v="3735"/>
    <x v="0"/>
    <s v="Cash"/>
    <s v="NO Remarks"/>
  </r>
  <r>
    <n v="1058"/>
    <d v="2026-03-15T00:00:00"/>
    <s v="Customer 57"/>
    <x v="4"/>
    <x v="1"/>
    <s v="Desk"/>
    <s v="Rahul"/>
    <n v="5"/>
    <n v="3559"/>
    <n v="17795"/>
    <n v="5"/>
    <n v="889.75"/>
    <n v="16905.25"/>
    <x v="1"/>
    <s v="Cash"/>
    <s v="Repeat Customer"/>
  </r>
  <r>
    <n v="1059"/>
    <d v="2026-02-28T00:00:00"/>
    <s v="Customer 58"/>
    <x v="1"/>
    <x v="0"/>
    <s v="Notebook"/>
    <s v="Rahul"/>
    <n v="4"/>
    <n v="1204"/>
    <n v="4816"/>
    <n v="10"/>
    <n v="481.6"/>
    <n v="4334.3999999999996"/>
    <x v="1"/>
    <s v="Card"/>
    <s v="New Lead"/>
  </r>
  <r>
    <n v="1060"/>
    <d v="2026-01-23T00:00:00"/>
    <s v="Customer 59"/>
    <x v="2"/>
    <x v="0"/>
    <s v="Notebook"/>
    <s v="Neha"/>
    <n v="10"/>
    <n v="435"/>
    <n v="4350"/>
    <n v="10"/>
    <n v="435"/>
    <n v="3915"/>
    <x v="0"/>
    <s v="Upi"/>
    <s v="New Lead"/>
  </r>
  <r>
    <n v="1061"/>
    <d v="2026-02-21T00:00:00"/>
    <s v="Customer 60"/>
    <x v="1"/>
    <x v="1"/>
    <s v="Chair"/>
    <s v="Rahul"/>
    <n v="4"/>
    <n v="4428"/>
    <n v="17712"/>
    <n v="0"/>
    <n v="0"/>
    <n v="17712"/>
    <x v="1"/>
    <s v="Cash"/>
    <s v="NO Remarks"/>
  </r>
  <r>
    <n v="1062"/>
    <d v="2026-02-14T00:00:00"/>
    <s v="Customer 61"/>
    <x v="3"/>
    <x v="0"/>
    <s v="Pen Set"/>
    <s v="Arun"/>
    <n v="4"/>
    <n v="2146"/>
    <n v="8584"/>
    <n v="5"/>
    <n v="429.2"/>
    <n v="8154.8"/>
    <x v="1"/>
    <s v="Cash"/>
    <s v="New Lead"/>
  </r>
  <r>
    <n v="1063"/>
    <d v="2026-03-11T00:00:00"/>
    <s v="Customer 62"/>
    <x v="1"/>
    <x v="2"/>
    <s v="Keyboard"/>
    <s v="Neha"/>
    <n v="4"/>
    <n v="1168"/>
    <n v="4672"/>
    <n v="15"/>
    <n v="700.8"/>
    <n v="3971.2"/>
    <x v="1"/>
    <s v="Card"/>
    <s v="NO Remarks"/>
  </r>
  <r>
    <n v="1064"/>
    <d v="2026-02-06T00:00:00"/>
    <s v="Customer 63"/>
    <x v="1"/>
    <x v="2"/>
    <s v="Mouse"/>
    <s v="Rahul"/>
    <n v="6"/>
    <n v="4798"/>
    <n v="28788"/>
    <n v="10"/>
    <n v="2878.8"/>
    <n v="25909.200000000001"/>
    <x v="1"/>
    <s v="Cash"/>
    <s v="Repeat Customer"/>
  </r>
  <r>
    <n v="1065"/>
    <d v="2026-03-01T00:00:00"/>
    <s v="Customer 64"/>
    <x v="4"/>
    <x v="2"/>
    <s v="Laptop"/>
    <s v="Neha"/>
    <n v="3"/>
    <n v="2000"/>
    <n v="6000"/>
    <n v="10"/>
    <n v="600"/>
    <n v="5400"/>
    <x v="1"/>
    <s v="Cash"/>
    <s v="NO Remarks"/>
  </r>
  <r>
    <n v="1066"/>
    <d v="2026-04-03T00:00:00"/>
    <s v="Customer 65"/>
    <x v="1"/>
    <x v="0"/>
    <s v="Pen Set"/>
    <s v="Arun"/>
    <n v="4"/>
    <n v="3282"/>
    <n v="13128"/>
    <n v="15"/>
    <n v="1969.2"/>
    <n v="11158.8"/>
    <x v="1"/>
    <s v="Card"/>
    <s v="New Lead"/>
  </r>
  <r>
    <n v="1067"/>
    <d v="2026-02-14T00:00:00"/>
    <s v="Customer 66"/>
    <x v="3"/>
    <x v="0"/>
    <s v="Pen Set"/>
    <s v="Aisha"/>
    <n v="6"/>
    <n v="584"/>
    <n v="3504"/>
    <n v="15"/>
    <n v="525.6"/>
    <n v="2978.4"/>
    <x v="0"/>
    <s v="Cash"/>
    <s v="Urgent"/>
  </r>
  <r>
    <n v="1068"/>
    <d v="2026-01-10T00:00:00"/>
    <s v="Customer 67"/>
    <x v="3"/>
    <x v="1"/>
    <s v="Chair"/>
    <s v="Aisha"/>
    <n v="2"/>
    <n v="1798"/>
    <n v="3596"/>
    <n v="10"/>
    <n v="359.6"/>
    <n v="3236.4"/>
    <x v="0"/>
    <s v="Card"/>
    <s v="NO Remarks"/>
  </r>
  <r>
    <n v="1069"/>
    <d v="2026-02-08T00:00:00"/>
    <s v="Customer 68"/>
    <x v="0"/>
    <x v="0"/>
    <s v="Notebook"/>
    <s v="Aisha"/>
    <n v="6"/>
    <n v="3099"/>
    <n v="18594"/>
    <n v="5"/>
    <n v="929.7"/>
    <n v="17664.3"/>
    <x v="1"/>
    <s v="Cash"/>
    <s v="Repeat Customer"/>
  </r>
  <r>
    <n v="1070"/>
    <d v="2026-05-19T00:00:00"/>
    <s v="Customer 69"/>
    <x v="1"/>
    <x v="0"/>
    <s v="Pen Set"/>
    <s v="Rahul"/>
    <n v="3"/>
    <n v="1879"/>
    <n v="5637"/>
    <n v="10"/>
    <n v="563.70000000000005"/>
    <n v="5073.3"/>
    <x v="1"/>
    <s v="Card"/>
    <s v="Repeat Customer"/>
  </r>
  <r>
    <n v="1071"/>
    <d v="2026-01-07T00:00:00"/>
    <s v="Customer 70"/>
    <x v="0"/>
    <x v="0"/>
    <s v="Notebook"/>
    <s v="Arun"/>
    <n v="9"/>
    <n v="930"/>
    <n v="8370"/>
    <n v="0"/>
    <n v="0"/>
    <n v="8370"/>
    <x v="1"/>
    <s v="Card"/>
    <s v="Repeat Customer"/>
  </r>
  <r>
    <n v="1072"/>
    <d v="2026-06-08T00:00:00"/>
    <s v="Customer 71"/>
    <x v="4"/>
    <x v="1"/>
    <s v="Desk"/>
    <s v="Aisha"/>
    <n v="6"/>
    <n v="4713"/>
    <n v="28278"/>
    <n v="0"/>
    <n v="0"/>
    <n v="28278"/>
    <x v="1"/>
    <s v="Cash"/>
    <s v="Repeat Customer"/>
  </r>
  <r>
    <n v="1073"/>
    <d v="2026-06-13T00:00:00"/>
    <s v="Customer 72"/>
    <x v="1"/>
    <x v="1"/>
    <s v="Chair"/>
    <s v="Aisha"/>
    <n v="2"/>
    <n v="3055"/>
    <n v="6110"/>
    <n v="5"/>
    <n v="305.5"/>
    <n v="5804.5"/>
    <x v="0"/>
    <s v="Card"/>
    <s v="Urgent"/>
  </r>
  <r>
    <n v="1074"/>
    <d v="2026-06-07T00:00:00"/>
    <s v="Customer 73"/>
    <x v="3"/>
    <x v="0"/>
    <s v="Notebook"/>
    <s v="Rahul"/>
    <n v="5"/>
    <n v="993"/>
    <n v="4965"/>
    <n v="5"/>
    <n v="248.25"/>
    <n v="4716.75"/>
    <x v="0"/>
    <s v="Cash"/>
    <s v="New Lead"/>
  </r>
  <r>
    <n v="1075"/>
    <d v="2026-03-29T00:00:00"/>
    <s v="Customer 74"/>
    <x v="0"/>
    <x v="1"/>
    <s v="Chair"/>
    <s v="Aisha"/>
    <n v="2"/>
    <n v="4128"/>
    <n v="8256"/>
    <n v="0"/>
    <n v="0"/>
    <n v="8256"/>
    <x v="0"/>
    <s v="Cash"/>
    <s v="NO Remarks"/>
  </r>
  <r>
    <n v="1076"/>
    <d v="2026-06-20T00:00:00"/>
    <s v="Customer 75"/>
    <x v="2"/>
    <x v="0"/>
    <s v="Notebook"/>
    <s v="Rahul"/>
    <n v="4"/>
    <n v="4162"/>
    <n v="16648"/>
    <n v="10"/>
    <n v="1664.8"/>
    <n v="14983.2"/>
    <x v="0"/>
    <s v="Upi"/>
    <s v="Urgent"/>
  </r>
  <r>
    <n v="1077"/>
    <d v="2026-03-14T00:00:00"/>
    <s v="Customer 76"/>
    <x v="1"/>
    <x v="0"/>
    <s v="Pen Set"/>
    <s v="Neha"/>
    <n v="8"/>
    <n v="3138"/>
    <n v="25104"/>
    <n v="0"/>
    <n v="0"/>
    <n v="25104"/>
    <x v="0"/>
    <s v="Card"/>
    <s v="New Lead"/>
  </r>
  <r>
    <n v="1078"/>
    <d v="2026-06-21T00:00:00"/>
    <s v="Customer 77"/>
    <x v="1"/>
    <x v="1"/>
    <s v="Chair"/>
    <s v="Neha"/>
    <n v="3"/>
    <n v="1393"/>
    <n v="4179"/>
    <n v="5"/>
    <n v="208.95"/>
    <n v="3970.05"/>
    <x v="1"/>
    <s v="Card"/>
    <s v="New Lead"/>
  </r>
  <r>
    <n v="1079"/>
    <d v="2026-02-20T00:00:00"/>
    <s v="Customer 78"/>
    <x v="0"/>
    <x v="1"/>
    <s v="Chair"/>
    <s v="Rahul"/>
    <n v="9"/>
    <n v="4425"/>
    <n v="39825"/>
    <n v="0"/>
    <n v="0"/>
    <n v="39825"/>
    <x v="1"/>
    <s v="Upi"/>
    <s v="New Lead"/>
  </r>
  <r>
    <n v="1080"/>
    <d v="2026-04-19T00:00:00"/>
    <s v="Customer 79"/>
    <x v="4"/>
    <x v="2"/>
    <s v="Mouse"/>
    <s v="Aisha"/>
    <n v="4"/>
    <n v="4656"/>
    <n v="18624"/>
    <n v="0"/>
    <n v="0"/>
    <n v="18624"/>
    <x v="0"/>
    <s v="Upi"/>
    <s v="New Lead"/>
  </r>
  <r>
    <n v="1081"/>
    <d v="2026-01-13T00:00:00"/>
    <s v="Customer 80"/>
    <x v="3"/>
    <x v="2"/>
    <s v="Mouse"/>
    <s v="Aisha"/>
    <n v="1"/>
    <n v="1513"/>
    <n v="1513"/>
    <n v="0"/>
    <n v="0"/>
    <n v="1513"/>
    <x v="0"/>
    <s v="Card"/>
    <s v="Repeat Customer"/>
  </r>
  <r>
    <n v="1082"/>
    <d v="2026-03-30T00:00:00"/>
    <s v="Customer 81"/>
    <x v="2"/>
    <x v="1"/>
    <s v="Chair"/>
    <s v="Aisha"/>
    <n v="10"/>
    <n v="2508"/>
    <n v="25080"/>
    <n v="15"/>
    <n v="3762"/>
    <n v="21318"/>
    <x v="1"/>
    <s v="Upi"/>
    <s v="New Lead"/>
  </r>
  <r>
    <n v="1083"/>
    <d v="2026-03-04T00:00:00"/>
    <s v="Customer 82"/>
    <x v="1"/>
    <x v="2"/>
    <s v="Keyboard"/>
    <s v="Arun"/>
    <n v="2"/>
    <n v="2555"/>
    <n v="5110"/>
    <n v="0"/>
    <n v="0"/>
    <n v="5110"/>
    <x v="0"/>
    <s v="Upi"/>
    <s v="NO Remarks"/>
  </r>
  <r>
    <n v="1084"/>
    <d v="2026-02-25T00:00:00"/>
    <s v="Customer 83"/>
    <x v="4"/>
    <x v="2"/>
    <s v="Keyboard"/>
    <s v="Neha"/>
    <n v="6"/>
    <n v="3179"/>
    <n v="19074"/>
    <n v="5"/>
    <n v="953.7"/>
    <n v="18120.3"/>
    <x v="0"/>
    <s v="Card"/>
    <s v="New Lead"/>
  </r>
  <r>
    <n v="1085"/>
    <d v="2026-03-01T00:00:00"/>
    <s v="Customer 84"/>
    <x v="3"/>
    <x v="0"/>
    <s v="Pen Set"/>
    <s v="Neha"/>
    <n v="3"/>
    <n v="2462"/>
    <n v="7386"/>
    <n v="5"/>
    <n v="369.3"/>
    <n v="7016.7"/>
    <x v="0"/>
    <s v="Cash"/>
    <s v="Urgent"/>
  </r>
  <r>
    <n v="1086"/>
    <d v="2026-04-08T00:00:00"/>
    <s v="Customer 85"/>
    <x v="1"/>
    <x v="2"/>
    <s v="Keyboard"/>
    <s v="Arun"/>
    <n v="2"/>
    <n v="4560"/>
    <n v="9120"/>
    <n v="0"/>
    <n v="0"/>
    <n v="9120"/>
    <x v="1"/>
    <s v="Card"/>
    <s v="New Lead"/>
  </r>
  <r>
    <n v="1087"/>
    <d v="2026-01-06T00:00:00"/>
    <s v="Customer 86"/>
    <x v="0"/>
    <x v="2"/>
    <s v="Laptop"/>
    <s v="Rahul"/>
    <n v="6"/>
    <n v="3102"/>
    <n v="18612"/>
    <n v="5"/>
    <n v="930.6"/>
    <n v="17681.400000000001"/>
    <x v="0"/>
    <s v="Card"/>
    <s v="New Lead"/>
  </r>
  <r>
    <n v="1088"/>
    <d v="2026-03-13T00:00:00"/>
    <s v="Customer 87"/>
    <x v="3"/>
    <x v="1"/>
    <s v="Desk"/>
    <s v="Rahul"/>
    <n v="2"/>
    <n v="3298"/>
    <n v="6596"/>
    <n v="0"/>
    <n v="0"/>
    <n v="6596"/>
    <x v="1"/>
    <s v="Card"/>
    <s v="NO Remarks"/>
  </r>
  <r>
    <n v="1089"/>
    <d v="2026-01-27T00:00:00"/>
    <s v="Customer 88"/>
    <x v="3"/>
    <x v="0"/>
    <s v="Notebook"/>
    <s v="Rahul"/>
    <n v="6"/>
    <n v="2909"/>
    <n v="17454"/>
    <n v="15"/>
    <n v="2618.1"/>
    <n v="14835.9"/>
    <x v="1"/>
    <s v="Upi"/>
    <s v="Repeat Customer"/>
  </r>
  <r>
    <n v="1090"/>
    <d v="2026-03-07T00:00:00"/>
    <s v="Customer 89"/>
    <x v="2"/>
    <x v="2"/>
    <s v="Laptop"/>
    <s v="Neha"/>
    <n v="1"/>
    <n v="1957"/>
    <n v="1957"/>
    <n v="10"/>
    <n v="195.7"/>
    <n v="1761.3"/>
    <x v="0"/>
    <s v="Upi"/>
    <s v="Urgent"/>
  </r>
  <r>
    <n v="1091"/>
    <d v="2026-01-03T00:00:00"/>
    <s v="Customer 90"/>
    <x v="0"/>
    <x v="0"/>
    <s v="Notebook"/>
    <s v="Aisha"/>
    <n v="2"/>
    <n v="1703"/>
    <n v="3406"/>
    <n v="10"/>
    <n v="340.6"/>
    <n v="3065.4"/>
    <x v="0"/>
    <s v="Upi"/>
    <s v="NO Remarks"/>
  </r>
  <r>
    <n v="1092"/>
    <d v="2026-04-30T00:00:00"/>
    <s v="Customer 91"/>
    <x v="0"/>
    <x v="0"/>
    <s v="Notebook"/>
    <s v="Rahul"/>
    <n v="7"/>
    <n v="1418"/>
    <n v="9926"/>
    <n v="5"/>
    <n v="496.3"/>
    <n v="9429.7000000000007"/>
    <x v="0"/>
    <s v="Cash"/>
    <s v="NO Remarks"/>
  </r>
  <r>
    <n v="1093"/>
    <d v="2026-04-10T00:00:00"/>
    <s v="Customer 92"/>
    <x v="3"/>
    <x v="0"/>
    <s v="Pen Set"/>
    <s v="Aisha"/>
    <n v="5"/>
    <n v="4271"/>
    <n v="21355"/>
    <n v="0"/>
    <n v="0"/>
    <n v="21355"/>
    <x v="0"/>
    <s v="Card"/>
    <s v="Urgent"/>
  </r>
  <r>
    <n v="1094"/>
    <d v="2026-05-06T00:00:00"/>
    <s v="Customer 93"/>
    <x v="3"/>
    <x v="2"/>
    <s v="Keyboard"/>
    <s v="Aisha"/>
    <n v="1"/>
    <n v="666"/>
    <n v="666"/>
    <n v="15"/>
    <n v="99.9"/>
    <n v="566.1"/>
    <x v="0"/>
    <s v="Card"/>
    <s v="Repeat Customer"/>
  </r>
  <r>
    <n v="1095"/>
    <d v="2026-04-12T00:00:00"/>
    <s v="Customer 94"/>
    <x v="0"/>
    <x v="1"/>
    <s v="Chair"/>
    <s v="Rahul"/>
    <n v="6"/>
    <n v="2059"/>
    <n v="12354"/>
    <n v="5"/>
    <n v="617.70000000000005"/>
    <n v="11736.3"/>
    <x v="1"/>
    <s v="Card"/>
    <s v="Repeat Customer"/>
  </r>
  <r>
    <n v="1096"/>
    <d v="2026-04-26T00:00:00"/>
    <s v="Customer 95"/>
    <x v="4"/>
    <x v="0"/>
    <s v="Notebook"/>
    <s v="Aisha"/>
    <n v="4"/>
    <n v="1564"/>
    <n v="6256"/>
    <n v="0"/>
    <n v="0"/>
    <n v="6256"/>
    <x v="1"/>
    <s v="Cash"/>
    <s v="Urgent"/>
  </r>
  <r>
    <n v="1097"/>
    <d v="2026-05-24T00:00:00"/>
    <s v="Customer 96"/>
    <x v="0"/>
    <x v="0"/>
    <s v="Notebook"/>
    <s v="Arun"/>
    <n v="10"/>
    <n v="1447"/>
    <n v="14470"/>
    <n v="5"/>
    <n v="723.5"/>
    <n v="13746.5"/>
    <x v="1"/>
    <s v="Cash"/>
    <s v="Repeat Customer"/>
  </r>
  <r>
    <n v="1098"/>
    <d v="2026-03-13T00:00:00"/>
    <s v="Customer 97"/>
    <x v="2"/>
    <x v="0"/>
    <s v="Pen Set"/>
    <s v="Arun"/>
    <n v="7"/>
    <n v="3739"/>
    <n v="26173"/>
    <n v="0"/>
    <n v="0"/>
    <n v="26173"/>
    <x v="0"/>
    <s v="Card"/>
    <s v="Repeat Customer"/>
  </r>
  <r>
    <n v="1099"/>
    <d v="2026-02-19T00:00:00"/>
    <s v="Customer 98"/>
    <x v="2"/>
    <x v="1"/>
    <s v="Chair"/>
    <s v="Rahul"/>
    <n v="1"/>
    <n v="4096"/>
    <n v="4096"/>
    <n v="10"/>
    <n v="409.6"/>
    <n v="3686.4"/>
    <x v="0"/>
    <s v="Card"/>
    <s v="New Lead"/>
  </r>
  <r>
    <n v="1100"/>
    <d v="2026-02-06T00:00:00"/>
    <s v="Customer 99"/>
    <x v="0"/>
    <x v="1"/>
    <s v="Chair"/>
    <s v="Arun"/>
    <n v="8"/>
    <n v="3693"/>
    <n v="29544"/>
    <n v="10"/>
    <n v="2954.4"/>
    <n v="26589.599999999999"/>
    <x v="1"/>
    <s v="Upi"/>
    <s v="Urgent"/>
  </r>
  <r>
    <n v="1101"/>
    <d v="2026-05-09T00:00:00"/>
    <s v="Customer 100"/>
    <x v="2"/>
    <x v="0"/>
    <s v="Notebook"/>
    <s v="Arun"/>
    <n v="1"/>
    <n v="3604"/>
    <n v="3604"/>
    <n v="10"/>
    <n v="360.4"/>
    <n v="3243.6"/>
    <x v="0"/>
    <s v="Card"/>
    <s v="NO Remark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7A39E-8F9E-4078-9995-EB4AE54F0FF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R24:S27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13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4F005-D0E4-4942-85B1-68C5669A3E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R16:S22" firstHeaderRow="1" firstDataRow="1" firstDataCol="1"/>
  <pivotFields count="16">
    <pivotField showAll="0"/>
    <pivotField numFmtId="14"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fter discount   Amt" fld="12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F6007-0B5D-4785-A679-186B9BFBF0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R10:V14" firstHeaderRow="0" firstDataRow="1" firstDataCol="1"/>
  <pivotFields count="16">
    <pivotField dataField="1"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0" subtotal="count" baseField="4" baseItem="0"/>
    <dataField name="Sum of Total Sales" fld="9" baseField="0" baseItem="0"/>
    <dataField name="Sum of Discount Amt" fld="11" baseField="0" baseItem="0"/>
    <dataField name="Sum of After discount   Amt" fld="12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704BC1-8F31-4FAF-B5F0-484731230E57}" autoFormatId="16" applyNumberFormats="0" applyBorderFormats="0" applyFontFormats="0" applyPatternFormats="0" applyAlignmentFormats="0" applyWidthHeightFormats="0">
  <queryTableRefresh nextId="18">
    <queryTableFields count="16">
      <queryTableField id="1" name="Order ID" tableColumnId="1"/>
      <queryTableField id="2" name="Order Date" tableColumnId="2"/>
      <queryTableField id="3" name="Customer Name" tableColumnId="3"/>
      <queryTableField id="4" name="City" tableColumnId="4"/>
      <queryTableField id="5" name="Department" tableColumnId="5"/>
      <queryTableField id="6" name="Product" tableColumnId="6"/>
      <queryTableField id="7" name="Salesperson" tableColumnId="7"/>
      <queryTableField id="8" name="Quantity" tableColumnId="8"/>
      <queryTableField id="9" name="Unit Price" tableColumnId="9"/>
      <queryTableField id="15" dataBound="0" tableColumnId="15"/>
      <queryTableField id="10" name="Discount %" tableColumnId="10"/>
      <queryTableField id="16" dataBound="0" tableColumnId="16"/>
      <queryTableField id="17" dataBound="0" tableColumnId="17"/>
      <queryTableField id="11" name="Status " tableColumnId="11"/>
      <queryTableField id="12" name="Payment Method" tableColumnId="12"/>
      <queryTableField id="13" name="Remark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29545-31DC-4AB0-A9FE-8E0EA03798C7}" name="Table1_1" displayName="Table1_1" ref="A1:P101" tableType="queryTable" totalsRowShown="0">
  <autoFilter ref="A1:P101" xr:uid="{C6D29545-31DC-4AB0-A9FE-8E0EA03798C7}"/>
  <tableColumns count="16">
    <tableColumn id="1" xr3:uid="{1A93E0EC-A0CF-4345-B027-F3136E8F0C2A}" uniqueName="1" name="Order ID" queryTableFieldId="1"/>
    <tableColumn id="2" xr3:uid="{56B4D509-4AD8-4215-9356-0A28B770DDCF}" uniqueName="2" name="Order Date" queryTableFieldId="2" dataDxfId="13"/>
    <tableColumn id="3" xr3:uid="{6C56FCF7-FE99-46B3-9EE5-FF3430D8136B}" uniqueName="3" name="Customer Name" queryTableFieldId="3" dataDxfId="12"/>
    <tableColumn id="4" xr3:uid="{94078FB7-DA21-4CB1-A634-F1AA7CDE8442}" uniqueName="4" name="City" queryTableFieldId="4" dataDxfId="11"/>
    <tableColumn id="5" xr3:uid="{72329751-D04B-41C2-8D5B-5E1B56DC0BCD}" uniqueName="5" name="Department" queryTableFieldId="5" dataDxfId="10"/>
    <tableColumn id="6" xr3:uid="{91D0E105-5710-4A6D-BFCF-7F803DE46539}" uniqueName="6" name="Product" queryTableFieldId="6" dataDxfId="9"/>
    <tableColumn id="7" xr3:uid="{40486CC9-B663-4119-AB26-641D9DE3E6C8}" uniqueName="7" name="Salesperson" queryTableFieldId="7" dataDxfId="8"/>
    <tableColumn id="8" xr3:uid="{8D35D0F5-3EB4-4A29-918A-F43A33EC09E7}" uniqueName="8" name="Quantity" queryTableFieldId="8"/>
    <tableColumn id="9" xr3:uid="{D979ED2D-0487-486E-B506-BD14454B9BED}" uniqueName="9" name="Unit Price" queryTableFieldId="9"/>
    <tableColumn id="15" xr3:uid="{D7CA6354-DCB9-4FC3-A0B2-1E56CFE5B3A3}" uniqueName="15" name="Total Sales" queryTableFieldId="15" dataDxfId="7">
      <calculatedColumnFormula>Table1_1[[#This Row],[Quantity]]*Table1_1[[#This Row],[Unit Price]]</calculatedColumnFormula>
    </tableColumn>
    <tableColumn id="10" xr3:uid="{12D646CF-CF4B-466F-AE95-CB70AEE43289}" uniqueName="10" name="Discount %" queryTableFieldId="10"/>
    <tableColumn id="16" xr3:uid="{00221F34-7B2D-46BA-B9EC-23EECA470B95}" uniqueName="16" name="Discount Amt" queryTableFieldId="16" dataDxfId="6">
      <calculatedColumnFormula>Table1_1[[#This Row],[Total Sales]]*Table1_1[[#This Row],[Discount %]]/100</calculatedColumnFormula>
    </tableColumn>
    <tableColumn id="17" xr3:uid="{1B30FEFF-A744-4421-8C77-CD2F8FFB7725}" uniqueName="17" name="After discount   Amt" queryTableFieldId="17" dataDxfId="5">
      <calculatedColumnFormula>Table1_1[[#This Row],[Total Sales]]-Table1_1[[#This Row],[Discount Amt]]</calculatedColumnFormula>
    </tableColumn>
    <tableColumn id="11" xr3:uid="{298E1CBD-C29A-487A-B0B3-4F675A5E7566}" uniqueName="11" name="Status " queryTableFieldId="11" dataDxfId="4"/>
    <tableColumn id="12" xr3:uid="{8F9C14E0-4130-4D3C-92B5-CB86AD371422}" uniqueName="12" name="Payment Method" queryTableFieldId="12" dataDxfId="3"/>
    <tableColumn id="13" xr3:uid="{C22DA173-0976-4B29-83A6-6ACB98AE7B4E}" uniqueName="13" name="Remarks" queryTableFieldId="1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AAFD13-3474-40F3-881B-EF37D35EA313}" name="Table3" displayName="Table3" ref="R3:S8" totalsRowShown="0">
  <autoFilter ref="R3:S8" xr:uid="{8BAAFD13-3474-40F3-881B-EF37D35EA313}"/>
  <tableColumns count="2">
    <tableColumn id="1" xr3:uid="{E1C0238C-1863-4AB6-9095-AA49D4EA28CF}" name="Column1"/>
    <tableColumn id="2" xr3:uid="{03F30FFD-5FC9-4F0F-8965-FCDF6CB7F9EB}" name="Column2" dataDxfId="1">
      <calculatedColumnFormula>SUM(Table1_1[Total Sales])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7F175-B5F1-49D4-82BE-6EFA59C934F7}" name="Table1" displayName="Table1" ref="A1:M101" totalsRowShown="0">
  <autoFilter ref="A1:M101" xr:uid="{3027F175-B5F1-49D4-82BE-6EFA59C934F7}"/>
  <tableColumns count="13">
    <tableColumn id="1" xr3:uid="{6FD5007D-77F9-4B1C-8E1F-578A6FB7E5FD}" name="Order ID"/>
    <tableColumn id="2" xr3:uid="{F781FDF4-8C65-4A63-B5C7-CAF8BCEC9DBF}" name="Order Date" dataDxfId="0"/>
    <tableColumn id="3" xr3:uid="{75CDA4DB-3A83-4E6B-BCE3-1C6083BF5436}" name="Customer Name"/>
    <tableColumn id="4" xr3:uid="{6717DA79-EF8B-4620-89B5-4F6E3269AE6A}" name="City"/>
    <tableColumn id="5" xr3:uid="{C9AB2466-7F81-46F8-990B-95A210123797}" name="Department"/>
    <tableColumn id="6" xr3:uid="{BC8E3135-A980-4C10-800C-88667519CBD2}" name="Product"/>
    <tableColumn id="7" xr3:uid="{6C971F3D-310C-4ECF-8620-124103D7360D}" name="Salesperson"/>
    <tableColumn id="8" xr3:uid="{EBC5D6AA-780B-4526-86BC-B8A42AD998EF}" name="Quantity"/>
    <tableColumn id="9" xr3:uid="{232B796B-F35D-48A4-93F2-1B1CF47CFF74}" name="Unit Price"/>
    <tableColumn id="10" xr3:uid="{5663894A-79EB-4C86-B06A-7CBF257DCB26}" name="Discount %"/>
    <tableColumn id="11" xr3:uid="{3C2A00BF-A6AF-4F3D-B2C4-26013AFD47E9}" name="Status "/>
    <tableColumn id="12" xr3:uid="{72593030-F72C-4974-BB49-777302D46383}" name="Payment Method"/>
    <tableColumn id="13" xr3:uid="{6EF73251-7EC7-4B87-81AB-71CDCFAA3C8C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CC22-D642-4CE1-A67D-4CB420CCF6D7}">
  <dimension ref="A1:V101"/>
  <sheetViews>
    <sheetView topLeftCell="O1" zoomScale="99" zoomScaleNormal="99" workbookViewId="0">
      <selection activeCell="AF15" sqref="AF15"/>
    </sheetView>
  </sheetViews>
  <sheetFormatPr defaultRowHeight="14.4" x14ac:dyDescent="0.3"/>
  <cols>
    <col min="1" max="1" width="11.6640625" customWidth="1"/>
    <col min="2" max="2" width="14.5546875" customWidth="1"/>
    <col min="3" max="3" width="16.88671875" bestFit="1" customWidth="1"/>
    <col min="4" max="4" width="10.21875" bestFit="1" customWidth="1"/>
    <col min="5" max="5" width="13.33203125" bestFit="1" customWidth="1"/>
    <col min="6" max="6" width="9.88671875" bestFit="1" customWidth="1"/>
    <col min="7" max="7" width="13.21875" bestFit="1" customWidth="1"/>
    <col min="8" max="8" width="10.5546875" bestFit="1" customWidth="1"/>
    <col min="9" max="9" width="11.33203125" bestFit="1" customWidth="1"/>
    <col min="10" max="10" width="12.44140625" bestFit="1" customWidth="1"/>
    <col min="11" max="11" width="13.77734375" customWidth="1"/>
    <col min="12" max="12" width="18.109375" bestFit="1" customWidth="1"/>
    <col min="13" max="13" width="20.44140625" customWidth="1"/>
    <col min="14" max="14" width="16.5546875" customWidth="1"/>
    <col min="15" max="15" width="15.21875" customWidth="1"/>
    <col min="16" max="16" width="15.33203125" customWidth="1"/>
    <col min="18" max="18" width="12.6640625" bestFit="1" customWidth="1"/>
    <col min="19" max="19" width="16" bestFit="1" customWidth="1"/>
    <col min="20" max="20" width="16.5546875" bestFit="1" customWidth="1"/>
    <col min="21" max="21" width="19.21875" bestFit="1" customWidth="1"/>
    <col min="22" max="22" width="24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153</v>
      </c>
      <c r="K1" t="s">
        <v>9</v>
      </c>
      <c r="L1" t="s">
        <v>154</v>
      </c>
      <c r="M1" t="s">
        <v>155</v>
      </c>
      <c r="N1" t="s">
        <v>10</v>
      </c>
      <c r="O1" t="s">
        <v>11</v>
      </c>
      <c r="P1" t="s">
        <v>12</v>
      </c>
    </row>
    <row r="2" spans="1:22" x14ac:dyDescent="0.3">
      <c r="A2">
        <v>1002</v>
      </c>
      <c r="B2" s="2">
        <v>46137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>
        <v>4924</v>
      </c>
      <c r="J2">
        <f>Table1_1[[#This Row],[Quantity]]*Table1_1[[#This Row],[Unit Price]]</f>
        <v>29544</v>
      </c>
      <c r="K2">
        <v>0</v>
      </c>
      <c r="L2">
        <f>Table1_1[[#This Row],[Total Sales]]*Table1_1[[#This Row],[Discount %]]/100</f>
        <v>0</v>
      </c>
      <c r="M2">
        <f>Table1_1[[#This Row],[Total Sales]]-Table1_1[[#This Row],[Discount Amt]]</f>
        <v>29544</v>
      </c>
      <c r="N2" t="s">
        <v>141</v>
      </c>
      <c r="O2" t="s">
        <v>142</v>
      </c>
      <c r="P2" t="s">
        <v>143</v>
      </c>
    </row>
    <row r="3" spans="1:22" x14ac:dyDescent="0.3">
      <c r="A3">
        <v>1003</v>
      </c>
      <c r="B3" s="2">
        <v>46102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>
        <v>2</v>
      </c>
      <c r="I3">
        <v>3788</v>
      </c>
      <c r="J3">
        <f>Table1_1[[#This Row],[Quantity]]*Table1_1[[#This Row],[Unit Price]]</f>
        <v>7576</v>
      </c>
      <c r="K3">
        <v>15</v>
      </c>
      <c r="L3">
        <f>Table1_1[[#This Row],[Total Sales]]*Table1_1[[#This Row],[Discount %]]/100</f>
        <v>1136.4000000000001</v>
      </c>
      <c r="M3">
        <f>Table1_1[[#This Row],[Total Sales]]-Table1_1[[#This Row],[Discount Amt]]</f>
        <v>6439.6</v>
      </c>
      <c r="N3" t="s">
        <v>144</v>
      </c>
      <c r="O3" t="s">
        <v>142</v>
      </c>
      <c r="P3" t="s">
        <v>151</v>
      </c>
      <c r="R3" t="s">
        <v>152</v>
      </c>
      <c r="S3" t="s">
        <v>157</v>
      </c>
    </row>
    <row r="4" spans="1:22" x14ac:dyDescent="0.3">
      <c r="A4">
        <v>1004</v>
      </c>
      <c r="B4" s="2">
        <v>46196</v>
      </c>
      <c r="C4" t="s">
        <v>23</v>
      </c>
      <c r="D4" t="s">
        <v>145</v>
      </c>
      <c r="E4" t="s">
        <v>25</v>
      </c>
      <c r="F4" t="s">
        <v>26</v>
      </c>
      <c r="G4" t="s">
        <v>27</v>
      </c>
      <c r="H4">
        <v>9</v>
      </c>
      <c r="I4">
        <v>636</v>
      </c>
      <c r="J4">
        <f>Table1_1[[#This Row],[Quantity]]*Table1_1[[#This Row],[Unit Price]]</f>
        <v>5724</v>
      </c>
      <c r="K4">
        <v>5</v>
      </c>
      <c r="L4">
        <f>Table1_1[[#This Row],[Total Sales]]*Table1_1[[#This Row],[Discount %]]/100</f>
        <v>286.2</v>
      </c>
      <c r="M4">
        <f>Table1_1[[#This Row],[Total Sales]]-Table1_1[[#This Row],[Discount Amt]]</f>
        <v>5437.8</v>
      </c>
      <c r="N4" t="s">
        <v>28</v>
      </c>
      <c r="O4" t="s">
        <v>29</v>
      </c>
      <c r="P4" t="s">
        <v>151</v>
      </c>
      <c r="R4" t="s">
        <v>158</v>
      </c>
      <c r="S4">
        <f>SUM(Table1_1[Total Sales])</f>
        <v>1315594</v>
      </c>
    </row>
    <row r="5" spans="1:22" x14ac:dyDescent="0.3">
      <c r="A5">
        <v>1005</v>
      </c>
      <c r="B5" s="2">
        <v>46101</v>
      </c>
      <c r="C5" t="s">
        <v>30</v>
      </c>
      <c r="D5" t="s">
        <v>146</v>
      </c>
      <c r="E5" t="s">
        <v>25</v>
      </c>
      <c r="F5" t="s">
        <v>32</v>
      </c>
      <c r="G5" t="s">
        <v>27</v>
      </c>
      <c r="H5">
        <v>5</v>
      </c>
      <c r="I5">
        <v>4721</v>
      </c>
      <c r="J5">
        <f>Table1_1[[#This Row],[Quantity]]*Table1_1[[#This Row],[Unit Price]]</f>
        <v>23605</v>
      </c>
      <c r="K5">
        <v>5</v>
      </c>
      <c r="L5">
        <f>Table1_1[[#This Row],[Total Sales]]*Table1_1[[#This Row],[Discount %]]/100</f>
        <v>1180.25</v>
      </c>
      <c r="M5">
        <f>Table1_1[[#This Row],[Total Sales]]-Table1_1[[#This Row],[Discount Amt]]</f>
        <v>22424.75</v>
      </c>
      <c r="N5" t="s">
        <v>28</v>
      </c>
      <c r="O5" t="s">
        <v>33</v>
      </c>
      <c r="P5" t="s">
        <v>143</v>
      </c>
      <c r="R5" t="s">
        <v>159</v>
      </c>
      <c r="S5">
        <f>SUM(Table1_1[Discount Amt])</f>
        <v>85254.700000000012</v>
      </c>
    </row>
    <row r="6" spans="1:22" x14ac:dyDescent="0.3">
      <c r="A6">
        <v>1006</v>
      </c>
      <c r="B6" s="2">
        <v>46091</v>
      </c>
      <c r="C6" t="s">
        <v>34</v>
      </c>
      <c r="D6" t="s">
        <v>147</v>
      </c>
      <c r="E6" t="s">
        <v>36</v>
      </c>
      <c r="F6" t="s">
        <v>37</v>
      </c>
      <c r="G6" t="s">
        <v>17</v>
      </c>
      <c r="H6">
        <v>5</v>
      </c>
      <c r="I6">
        <v>310</v>
      </c>
      <c r="J6">
        <f>Table1_1[[#This Row],[Quantity]]*Table1_1[[#This Row],[Unit Price]]</f>
        <v>1550</v>
      </c>
      <c r="K6">
        <v>10</v>
      </c>
      <c r="L6">
        <f>Table1_1[[#This Row],[Total Sales]]*Table1_1[[#This Row],[Discount %]]/100</f>
        <v>155</v>
      </c>
      <c r="M6">
        <f>Table1_1[[#This Row],[Total Sales]]-Table1_1[[#This Row],[Discount Amt]]</f>
        <v>1395</v>
      </c>
      <c r="N6" t="s">
        <v>141</v>
      </c>
      <c r="O6" t="s">
        <v>33</v>
      </c>
      <c r="P6" t="s">
        <v>143</v>
      </c>
      <c r="R6" t="s">
        <v>156</v>
      </c>
      <c r="S6">
        <f>SUM(Table1_1[After discount   Amt])</f>
        <v>1230339.3000000003</v>
      </c>
    </row>
    <row r="7" spans="1:22" x14ac:dyDescent="0.3">
      <c r="A7">
        <v>1007</v>
      </c>
      <c r="B7" s="2">
        <v>46170</v>
      </c>
      <c r="C7" t="s">
        <v>38</v>
      </c>
      <c r="D7" t="s">
        <v>145</v>
      </c>
      <c r="E7" t="s">
        <v>36</v>
      </c>
      <c r="F7" t="s">
        <v>39</v>
      </c>
      <c r="G7" t="s">
        <v>40</v>
      </c>
      <c r="H7">
        <v>4</v>
      </c>
      <c r="I7">
        <v>1365</v>
      </c>
      <c r="J7">
        <f>Table1_1[[#This Row],[Quantity]]*Table1_1[[#This Row],[Unit Price]]</f>
        <v>5460</v>
      </c>
      <c r="K7">
        <v>5</v>
      </c>
      <c r="L7">
        <f>Table1_1[[#This Row],[Total Sales]]*Table1_1[[#This Row],[Discount %]]/100</f>
        <v>273</v>
      </c>
      <c r="M7">
        <f>Table1_1[[#This Row],[Total Sales]]-Table1_1[[#This Row],[Discount Amt]]</f>
        <v>5187</v>
      </c>
      <c r="N7" t="s">
        <v>28</v>
      </c>
      <c r="O7" t="s">
        <v>29</v>
      </c>
      <c r="P7" t="s">
        <v>148</v>
      </c>
      <c r="R7" t="s">
        <v>160</v>
      </c>
      <c r="S7">
        <f>COUNTA(Table1_1[Order ID])</f>
        <v>100</v>
      </c>
    </row>
    <row r="8" spans="1:22" x14ac:dyDescent="0.3">
      <c r="A8">
        <v>1008</v>
      </c>
      <c r="B8" s="2">
        <v>46194</v>
      </c>
      <c r="C8" t="s">
        <v>42</v>
      </c>
      <c r="D8" t="s">
        <v>149</v>
      </c>
      <c r="E8" t="s">
        <v>25</v>
      </c>
      <c r="F8" t="s">
        <v>26</v>
      </c>
      <c r="G8" t="s">
        <v>40</v>
      </c>
      <c r="H8">
        <v>4</v>
      </c>
      <c r="I8">
        <v>3367</v>
      </c>
      <c r="J8">
        <f>Table1_1[[#This Row],[Quantity]]*Table1_1[[#This Row],[Unit Price]]</f>
        <v>13468</v>
      </c>
      <c r="K8">
        <v>5</v>
      </c>
      <c r="L8">
        <f>Table1_1[[#This Row],[Total Sales]]*Table1_1[[#This Row],[Discount %]]/100</f>
        <v>673.4</v>
      </c>
      <c r="M8">
        <f>Table1_1[[#This Row],[Total Sales]]-Table1_1[[#This Row],[Discount Amt]]</f>
        <v>12794.6</v>
      </c>
      <c r="N8" t="s">
        <v>144</v>
      </c>
      <c r="O8" t="s">
        <v>29</v>
      </c>
      <c r="P8" t="s">
        <v>143</v>
      </c>
      <c r="R8" t="s">
        <v>161</v>
      </c>
      <c r="S8">
        <f>AVERAGE(S6/S7)</f>
        <v>12303.393000000004</v>
      </c>
    </row>
    <row r="9" spans="1:22" x14ac:dyDescent="0.3">
      <c r="A9">
        <v>1009</v>
      </c>
      <c r="B9" s="2">
        <v>46080</v>
      </c>
      <c r="C9" t="s">
        <v>44</v>
      </c>
      <c r="D9" t="s">
        <v>145</v>
      </c>
      <c r="E9" t="s">
        <v>15</v>
      </c>
      <c r="F9" t="s">
        <v>45</v>
      </c>
      <c r="G9" t="s">
        <v>46</v>
      </c>
      <c r="H9">
        <v>7</v>
      </c>
      <c r="I9">
        <v>635</v>
      </c>
      <c r="J9">
        <f>Table1_1[[#This Row],[Quantity]]*Table1_1[[#This Row],[Unit Price]]</f>
        <v>4445</v>
      </c>
      <c r="K9">
        <v>10</v>
      </c>
      <c r="L9">
        <f>Table1_1[[#This Row],[Total Sales]]*Table1_1[[#This Row],[Discount %]]/100</f>
        <v>444.5</v>
      </c>
      <c r="M9">
        <f>Table1_1[[#This Row],[Total Sales]]-Table1_1[[#This Row],[Discount Amt]]</f>
        <v>4000.5</v>
      </c>
      <c r="N9" t="s">
        <v>28</v>
      </c>
      <c r="O9" t="s">
        <v>33</v>
      </c>
      <c r="P9" t="s">
        <v>143</v>
      </c>
    </row>
    <row r="10" spans="1:22" x14ac:dyDescent="0.3">
      <c r="A10">
        <v>1010</v>
      </c>
      <c r="B10" s="2">
        <v>46075</v>
      </c>
      <c r="C10" t="s">
        <v>47</v>
      </c>
      <c r="D10" t="s">
        <v>149</v>
      </c>
      <c r="E10" t="s">
        <v>15</v>
      </c>
      <c r="F10" t="s">
        <v>45</v>
      </c>
      <c r="G10" t="s">
        <v>40</v>
      </c>
      <c r="H10">
        <v>2</v>
      </c>
      <c r="I10">
        <v>931</v>
      </c>
      <c r="J10">
        <f>Table1_1[[#This Row],[Quantity]]*Table1_1[[#This Row],[Unit Price]]</f>
        <v>1862</v>
      </c>
      <c r="K10">
        <v>10</v>
      </c>
      <c r="L10">
        <f>Table1_1[[#This Row],[Total Sales]]*Table1_1[[#This Row],[Discount %]]/100</f>
        <v>186.2</v>
      </c>
      <c r="M10">
        <f>Table1_1[[#This Row],[Total Sales]]-Table1_1[[#This Row],[Discount Amt]]</f>
        <v>1675.8</v>
      </c>
      <c r="N10" t="s">
        <v>28</v>
      </c>
      <c r="O10" t="s">
        <v>33</v>
      </c>
      <c r="P10" t="s">
        <v>150</v>
      </c>
      <c r="R10" s="3" t="s">
        <v>162</v>
      </c>
      <c r="S10" t="s">
        <v>167</v>
      </c>
      <c r="T10" t="s">
        <v>164</v>
      </c>
      <c r="U10" t="s">
        <v>165</v>
      </c>
      <c r="V10" t="s">
        <v>166</v>
      </c>
    </row>
    <row r="11" spans="1:22" x14ac:dyDescent="0.3">
      <c r="A11">
        <v>1011</v>
      </c>
      <c r="B11" s="2">
        <v>46067</v>
      </c>
      <c r="C11" t="s">
        <v>49</v>
      </c>
      <c r="D11" t="s">
        <v>14</v>
      </c>
      <c r="E11" t="s">
        <v>15</v>
      </c>
      <c r="F11" t="s">
        <v>16</v>
      </c>
      <c r="G11" t="s">
        <v>40</v>
      </c>
      <c r="H11">
        <v>2</v>
      </c>
      <c r="I11">
        <v>1634</v>
      </c>
      <c r="J11">
        <f>Table1_1[[#This Row],[Quantity]]*Table1_1[[#This Row],[Unit Price]]</f>
        <v>3268</v>
      </c>
      <c r="K11">
        <v>15</v>
      </c>
      <c r="L11">
        <f>Table1_1[[#This Row],[Total Sales]]*Table1_1[[#This Row],[Discount %]]/100</f>
        <v>490.2</v>
      </c>
      <c r="M11">
        <f>Table1_1[[#This Row],[Total Sales]]-Table1_1[[#This Row],[Discount Amt]]</f>
        <v>2777.8</v>
      </c>
      <c r="N11" t="s">
        <v>28</v>
      </c>
      <c r="O11" t="s">
        <v>29</v>
      </c>
      <c r="P11" t="s">
        <v>151</v>
      </c>
      <c r="R11" s="4" t="s">
        <v>36</v>
      </c>
      <c r="S11">
        <v>25</v>
      </c>
      <c r="T11">
        <v>316210</v>
      </c>
      <c r="U11">
        <v>21580.5</v>
      </c>
      <c r="V11">
        <v>294629.5</v>
      </c>
    </row>
    <row r="12" spans="1:22" x14ac:dyDescent="0.3">
      <c r="A12">
        <v>1012</v>
      </c>
      <c r="B12" s="2">
        <v>46076</v>
      </c>
      <c r="C12" t="s">
        <v>50</v>
      </c>
      <c r="D12" t="s">
        <v>145</v>
      </c>
      <c r="E12" t="s">
        <v>25</v>
      </c>
      <c r="F12" t="s">
        <v>32</v>
      </c>
      <c r="G12" t="s">
        <v>46</v>
      </c>
      <c r="H12">
        <v>7</v>
      </c>
      <c r="I12">
        <v>4252</v>
      </c>
      <c r="J12">
        <f>Table1_1[[#This Row],[Quantity]]*Table1_1[[#This Row],[Unit Price]]</f>
        <v>29764</v>
      </c>
      <c r="K12">
        <v>15</v>
      </c>
      <c r="L12">
        <f>Table1_1[[#This Row],[Total Sales]]*Table1_1[[#This Row],[Discount %]]/100</f>
        <v>4464.6000000000004</v>
      </c>
      <c r="M12">
        <f>Table1_1[[#This Row],[Total Sales]]-Table1_1[[#This Row],[Discount Amt]]</f>
        <v>25299.4</v>
      </c>
      <c r="N12" t="s">
        <v>28</v>
      </c>
      <c r="O12" t="s">
        <v>142</v>
      </c>
      <c r="P12" t="s">
        <v>151</v>
      </c>
      <c r="R12" s="4" t="s">
        <v>25</v>
      </c>
      <c r="S12">
        <v>33</v>
      </c>
      <c r="T12">
        <v>489860</v>
      </c>
      <c r="U12">
        <v>29110.600000000002</v>
      </c>
      <c r="V12">
        <v>460749.39999999997</v>
      </c>
    </row>
    <row r="13" spans="1:22" x14ac:dyDescent="0.3">
      <c r="A13">
        <v>1013</v>
      </c>
      <c r="B13" s="2">
        <v>46189</v>
      </c>
      <c r="C13" t="s">
        <v>51</v>
      </c>
      <c r="D13" t="s">
        <v>145</v>
      </c>
      <c r="E13" t="s">
        <v>15</v>
      </c>
      <c r="F13" t="s">
        <v>16</v>
      </c>
      <c r="G13" t="s">
        <v>17</v>
      </c>
      <c r="H13">
        <v>2</v>
      </c>
      <c r="I13">
        <v>2374</v>
      </c>
      <c r="J13">
        <f>Table1_1[[#This Row],[Quantity]]*Table1_1[[#This Row],[Unit Price]]</f>
        <v>4748</v>
      </c>
      <c r="K13">
        <v>10</v>
      </c>
      <c r="L13">
        <f>Table1_1[[#This Row],[Total Sales]]*Table1_1[[#This Row],[Discount %]]/100</f>
        <v>474.8</v>
      </c>
      <c r="M13">
        <f>Table1_1[[#This Row],[Total Sales]]-Table1_1[[#This Row],[Discount Amt]]</f>
        <v>4273.2</v>
      </c>
      <c r="N13" t="s">
        <v>144</v>
      </c>
      <c r="O13" t="s">
        <v>33</v>
      </c>
      <c r="P13" t="s">
        <v>151</v>
      </c>
      <c r="R13" s="4" t="s">
        <v>15</v>
      </c>
      <c r="S13">
        <v>42</v>
      </c>
      <c r="T13">
        <v>509524</v>
      </c>
      <c r="U13">
        <v>34563.599999999999</v>
      </c>
      <c r="V13">
        <v>474960.40000000008</v>
      </c>
    </row>
    <row r="14" spans="1:22" x14ac:dyDescent="0.3">
      <c r="A14">
        <v>1014</v>
      </c>
      <c r="B14" s="2">
        <v>46193</v>
      </c>
      <c r="C14" t="s">
        <v>52</v>
      </c>
      <c r="D14" t="s">
        <v>149</v>
      </c>
      <c r="E14" t="s">
        <v>15</v>
      </c>
      <c r="F14" t="s">
        <v>16</v>
      </c>
      <c r="G14" t="s">
        <v>17</v>
      </c>
      <c r="H14">
        <v>5</v>
      </c>
      <c r="I14">
        <v>1612</v>
      </c>
      <c r="J14">
        <f>Table1_1[[#This Row],[Quantity]]*Table1_1[[#This Row],[Unit Price]]</f>
        <v>8060</v>
      </c>
      <c r="K14">
        <v>5</v>
      </c>
      <c r="L14">
        <f>Table1_1[[#This Row],[Total Sales]]*Table1_1[[#This Row],[Discount %]]/100</f>
        <v>403</v>
      </c>
      <c r="M14">
        <f>Table1_1[[#This Row],[Total Sales]]-Table1_1[[#This Row],[Discount Amt]]</f>
        <v>7657</v>
      </c>
      <c r="N14" t="s">
        <v>28</v>
      </c>
      <c r="O14" t="s">
        <v>29</v>
      </c>
      <c r="P14" t="s">
        <v>148</v>
      </c>
      <c r="R14" s="4" t="s">
        <v>163</v>
      </c>
      <c r="S14">
        <v>100</v>
      </c>
      <c r="T14">
        <v>1315594</v>
      </c>
      <c r="U14">
        <v>85254.700000000012</v>
      </c>
      <c r="V14">
        <v>1230339.3000000003</v>
      </c>
    </row>
    <row r="15" spans="1:22" x14ac:dyDescent="0.3">
      <c r="A15">
        <v>1015</v>
      </c>
      <c r="B15" s="2">
        <v>46182</v>
      </c>
      <c r="C15" t="s">
        <v>53</v>
      </c>
      <c r="D15" t="s">
        <v>145</v>
      </c>
      <c r="E15" t="s">
        <v>36</v>
      </c>
      <c r="F15" t="s">
        <v>54</v>
      </c>
      <c r="G15" t="s">
        <v>46</v>
      </c>
      <c r="H15">
        <v>10</v>
      </c>
      <c r="I15">
        <v>1044</v>
      </c>
      <c r="J15">
        <f>Table1_1[[#This Row],[Quantity]]*Table1_1[[#This Row],[Unit Price]]</f>
        <v>10440</v>
      </c>
      <c r="K15">
        <v>15</v>
      </c>
      <c r="L15">
        <f>Table1_1[[#This Row],[Total Sales]]*Table1_1[[#This Row],[Discount %]]/100</f>
        <v>1566</v>
      </c>
      <c r="M15">
        <f>Table1_1[[#This Row],[Total Sales]]-Table1_1[[#This Row],[Discount Amt]]</f>
        <v>8874</v>
      </c>
      <c r="N15" t="s">
        <v>144</v>
      </c>
      <c r="O15" t="s">
        <v>29</v>
      </c>
      <c r="P15" t="s">
        <v>143</v>
      </c>
    </row>
    <row r="16" spans="1:22" x14ac:dyDescent="0.3">
      <c r="A16">
        <v>1016</v>
      </c>
      <c r="B16" s="2">
        <v>46113</v>
      </c>
      <c r="C16" t="s">
        <v>55</v>
      </c>
      <c r="D16" t="s">
        <v>149</v>
      </c>
      <c r="E16" t="s">
        <v>36</v>
      </c>
      <c r="F16" t="s">
        <v>54</v>
      </c>
      <c r="G16" t="s">
        <v>46</v>
      </c>
      <c r="H16">
        <v>9</v>
      </c>
      <c r="I16">
        <v>3043</v>
      </c>
      <c r="J16">
        <f>Table1_1[[#This Row],[Quantity]]*Table1_1[[#This Row],[Unit Price]]</f>
        <v>27387</v>
      </c>
      <c r="K16">
        <v>10</v>
      </c>
      <c r="L16">
        <f>Table1_1[[#This Row],[Total Sales]]*Table1_1[[#This Row],[Discount %]]/100</f>
        <v>2738.7</v>
      </c>
      <c r="M16">
        <f>Table1_1[[#This Row],[Total Sales]]-Table1_1[[#This Row],[Discount Amt]]</f>
        <v>24648.3</v>
      </c>
      <c r="N16" t="s">
        <v>28</v>
      </c>
      <c r="O16" t="s">
        <v>33</v>
      </c>
      <c r="P16" t="s">
        <v>151</v>
      </c>
      <c r="R16" s="3" t="s">
        <v>162</v>
      </c>
      <c r="S16" t="s">
        <v>166</v>
      </c>
    </row>
    <row r="17" spans="1:21" x14ac:dyDescent="0.3">
      <c r="A17">
        <v>1017</v>
      </c>
      <c r="B17" s="2">
        <v>46197</v>
      </c>
      <c r="C17" t="s">
        <v>56</v>
      </c>
      <c r="D17" t="s">
        <v>14</v>
      </c>
      <c r="E17" t="s">
        <v>15</v>
      </c>
      <c r="F17" t="s">
        <v>16</v>
      </c>
      <c r="G17" t="s">
        <v>17</v>
      </c>
      <c r="H17">
        <v>1</v>
      </c>
      <c r="I17">
        <v>319</v>
      </c>
      <c r="J17">
        <f>Table1_1[[#This Row],[Quantity]]*Table1_1[[#This Row],[Unit Price]]</f>
        <v>319</v>
      </c>
      <c r="K17">
        <v>5</v>
      </c>
      <c r="L17">
        <f>Table1_1[[#This Row],[Total Sales]]*Table1_1[[#This Row],[Discount %]]/100</f>
        <v>15.95</v>
      </c>
      <c r="M17">
        <f>Table1_1[[#This Row],[Total Sales]]-Table1_1[[#This Row],[Discount Amt]]</f>
        <v>303.05</v>
      </c>
      <c r="N17" t="s">
        <v>28</v>
      </c>
      <c r="O17" t="s">
        <v>33</v>
      </c>
      <c r="P17" t="s">
        <v>148</v>
      </c>
      <c r="R17" s="4" t="s">
        <v>145</v>
      </c>
      <c r="S17">
        <v>289089.7</v>
      </c>
    </row>
    <row r="18" spans="1:21" x14ac:dyDescent="0.3">
      <c r="A18">
        <v>1018</v>
      </c>
      <c r="B18" s="2">
        <v>46063</v>
      </c>
      <c r="C18" t="s">
        <v>57</v>
      </c>
      <c r="D18" t="s">
        <v>14</v>
      </c>
      <c r="E18" t="s">
        <v>15</v>
      </c>
      <c r="F18" t="s">
        <v>16</v>
      </c>
      <c r="G18" t="s">
        <v>46</v>
      </c>
      <c r="H18">
        <v>8</v>
      </c>
      <c r="I18">
        <v>4177</v>
      </c>
      <c r="J18">
        <f>Table1_1[[#This Row],[Quantity]]*Table1_1[[#This Row],[Unit Price]]</f>
        <v>33416</v>
      </c>
      <c r="K18">
        <v>0</v>
      </c>
      <c r="L18">
        <f>Table1_1[[#This Row],[Total Sales]]*Table1_1[[#This Row],[Discount %]]/100</f>
        <v>0</v>
      </c>
      <c r="M18">
        <f>Table1_1[[#This Row],[Total Sales]]-Table1_1[[#This Row],[Discount Amt]]</f>
        <v>33416</v>
      </c>
      <c r="N18" t="s">
        <v>141</v>
      </c>
      <c r="O18" t="s">
        <v>142</v>
      </c>
      <c r="P18" t="s">
        <v>148</v>
      </c>
      <c r="R18" s="4" t="s">
        <v>14</v>
      </c>
      <c r="S18">
        <v>274736</v>
      </c>
    </row>
    <row r="19" spans="1:21" x14ac:dyDescent="0.3">
      <c r="A19">
        <v>1019</v>
      </c>
      <c r="B19" s="2">
        <v>46099</v>
      </c>
      <c r="C19" t="s">
        <v>58</v>
      </c>
      <c r="D19" t="s">
        <v>145</v>
      </c>
      <c r="E19" t="s">
        <v>25</v>
      </c>
      <c r="F19" t="s">
        <v>26</v>
      </c>
      <c r="G19" t="s">
        <v>46</v>
      </c>
      <c r="H19">
        <v>4</v>
      </c>
      <c r="I19">
        <v>3996</v>
      </c>
      <c r="J19">
        <f>Table1_1[[#This Row],[Quantity]]*Table1_1[[#This Row],[Unit Price]]</f>
        <v>15984</v>
      </c>
      <c r="K19">
        <v>5</v>
      </c>
      <c r="L19">
        <f>Table1_1[[#This Row],[Total Sales]]*Table1_1[[#This Row],[Discount %]]/100</f>
        <v>799.2</v>
      </c>
      <c r="M19">
        <f>Table1_1[[#This Row],[Total Sales]]-Table1_1[[#This Row],[Discount Amt]]</f>
        <v>15184.8</v>
      </c>
      <c r="N19" t="s">
        <v>28</v>
      </c>
      <c r="O19" t="s">
        <v>29</v>
      </c>
      <c r="P19" t="s">
        <v>148</v>
      </c>
      <c r="R19" s="4" t="s">
        <v>149</v>
      </c>
      <c r="S19">
        <v>276611.59999999998</v>
      </c>
    </row>
    <row r="20" spans="1:21" x14ac:dyDescent="0.3">
      <c r="A20">
        <v>1020</v>
      </c>
      <c r="B20" s="2">
        <v>46126</v>
      </c>
      <c r="C20" t="s">
        <v>59</v>
      </c>
      <c r="D20" t="s">
        <v>14</v>
      </c>
      <c r="E20" t="s">
        <v>36</v>
      </c>
      <c r="F20" t="s">
        <v>54</v>
      </c>
      <c r="G20" t="s">
        <v>17</v>
      </c>
      <c r="H20">
        <v>5</v>
      </c>
      <c r="I20">
        <v>1889</v>
      </c>
      <c r="J20">
        <f>Table1_1[[#This Row],[Quantity]]*Table1_1[[#This Row],[Unit Price]]</f>
        <v>9445</v>
      </c>
      <c r="K20">
        <v>10</v>
      </c>
      <c r="L20">
        <f>Table1_1[[#This Row],[Total Sales]]*Table1_1[[#This Row],[Discount %]]/100</f>
        <v>944.5</v>
      </c>
      <c r="M20">
        <f>Table1_1[[#This Row],[Total Sales]]-Table1_1[[#This Row],[Discount Amt]]</f>
        <v>8500.5</v>
      </c>
      <c r="N20" t="s">
        <v>144</v>
      </c>
      <c r="O20" t="s">
        <v>33</v>
      </c>
      <c r="P20" t="s">
        <v>150</v>
      </c>
      <c r="R20" s="4" t="s">
        <v>146</v>
      </c>
      <c r="S20">
        <v>190768.05</v>
      </c>
      <c r="U20" t="s">
        <v>168</v>
      </c>
    </row>
    <row r="21" spans="1:21" x14ac:dyDescent="0.3">
      <c r="A21">
        <v>1021</v>
      </c>
      <c r="B21" s="2">
        <v>46165</v>
      </c>
      <c r="C21" t="s">
        <v>60</v>
      </c>
      <c r="D21" t="s">
        <v>146</v>
      </c>
      <c r="E21" t="s">
        <v>15</v>
      </c>
      <c r="F21" t="s">
        <v>45</v>
      </c>
      <c r="G21" t="s">
        <v>27</v>
      </c>
      <c r="H21">
        <v>10</v>
      </c>
      <c r="I21">
        <v>1883</v>
      </c>
      <c r="J21">
        <f>Table1_1[[#This Row],[Quantity]]*Table1_1[[#This Row],[Unit Price]]</f>
        <v>18830</v>
      </c>
      <c r="K21">
        <v>0</v>
      </c>
      <c r="L21">
        <f>Table1_1[[#This Row],[Total Sales]]*Table1_1[[#This Row],[Discount %]]/100</f>
        <v>0</v>
      </c>
      <c r="M21">
        <f>Table1_1[[#This Row],[Total Sales]]-Table1_1[[#This Row],[Discount Amt]]</f>
        <v>18830</v>
      </c>
      <c r="N21" t="s">
        <v>141</v>
      </c>
      <c r="O21" t="s">
        <v>33</v>
      </c>
      <c r="P21" t="s">
        <v>148</v>
      </c>
      <c r="R21" s="4" t="s">
        <v>147</v>
      </c>
      <c r="S21">
        <v>199133.94999999998</v>
      </c>
    </row>
    <row r="22" spans="1:21" x14ac:dyDescent="0.3">
      <c r="A22">
        <v>1022</v>
      </c>
      <c r="B22" s="2">
        <v>46081</v>
      </c>
      <c r="C22" t="s">
        <v>61</v>
      </c>
      <c r="D22" t="s">
        <v>14</v>
      </c>
      <c r="E22" t="s">
        <v>25</v>
      </c>
      <c r="F22" t="s">
        <v>26</v>
      </c>
      <c r="G22" t="s">
        <v>27</v>
      </c>
      <c r="H22">
        <v>3</v>
      </c>
      <c r="I22">
        <v>3962</v>
      </c>
      <c r="J22">
        <f>Table1_1[[#This Row],[Quantity]]*Table1_1[[#This Row],[Unit Price]]</f>
        <v>11886</v>
      </c>
      <c r="K22">
        <v>5</v>
      </c>
      <c r="L22">
        <f>Table1_1[[#This Row],[Total Sales]]*Table1_1[[#This Row],[Discount %]]/100</f>
        <v>594.29999999999995</v>
      </c>
      <c r="M22">
        <f>Table1_1[[#This Row],[Total Sales]]-Table1_1[[#This Row],[Discount Amt]]</f>
        <v>11291.7</v>
      </c>
      <c r="N22" t="s">
        <v>144</v>
      </c>
      <c r="O22" t="s">
        <v>33</v>
      </c>
      <c r="P22" t="s">
        <v>148</v>
      </c>
      <c r="R22" s="4" t="s">
        <v>163</v>
      </c>
      <c r="S22">
        <v>1230339.2999999998</v>
      </c>
    </row>
    <row r="23" spans="1:21" x14ac:dyDescent="0.3">
      <c r="A23">
        <v>1023</v>
      </c>
      <c r="B23" s="2">
        <v>46146</v>
      </c>
      <c r="C23" t="s">
        <v>62</v>
      </c>
      <c r="D23" t="s">
        <v>14</v>
      </c>
      <c r="E23" t="s">
        <v>15</v>
      </c>
      <c r="F23" t="s">
        <v>45</v>
      </c>
      <c r="G23" t="s">
        <v>27</v>
      </c>
      <c r="H23">
        <v>2</v>
      </c>
      <c r="I23">
        <v>1153</v>
      </c>
      <c r="J23">
        <f>Table1_1[[#This Row],[Quantity]]*Table1_1[[#This Row],[Unit Price]]</f>
        <v>2306</v>
      </c>
      <c r="K23">
        <v>0</v>
      </c>
      <c r="L23">
        <f>Table1_1[[#This Row],[Total Sales]]*Table1_1[[#This Row],[Discount %]]/100</f>
        <v>0</v>
      </c>
      <c r="M23">
        <f>Table1_1[[#This Row],[Total Sales]]-Table1_1[[#This Row],[Discount Amt]]</f>
        <v>2306</v>
      </c>
      <c r="N23" t="s">
        <v>144</v>
      </c>
      <c r="O23" t="s">
        <v>142</v>
      </c>
      <c r="P23" t="s">
        <v>150</v>
      </c>
    </row>
    <row r="24" spans="1:21" x14ac:dyDescent="0.3">
      <c r="A24">
        <v>1024</v>
      </c>
      <c r="B24" s="2">
        <v>46075</v>
      </c>
      <c r="C24" t="s">
        <v>63</v>
      </c>
      <c r="D24" t="s">
        <v>145</v>
      </c>
      <c r="E24" t="s">
        <v>25</v>
      </c>
      <c r="F24" t="s">
        <v>26</v>
      </c>
      <c r="G24" t="s">
        <v>46</v>
      </c>
      <c r="H24">
        <v>6</v>
      </c>
      <c r="I24">
        <v>2809</v>
      </c>
      <c r="J24">
        <f>Table1_1[[#This Row],[Quantity]]*Table1_1[[#This Row],[Unit Price]]</f>
        <v>16854</v>
      </c>
      <c r="K24">
        <v>5</v>
      </c>
      <c r="L24">
        <f>Table1_1[[#This Row],[Total Sales]]*Table1_1[[#This Row],[Discount %]]/100</f>
        <v>842.7</v>
      </c>
      <c r="M24">
        <f>Table1_1[[#This Row],[Total Sales]]-Table1_1[[#This Row],[Discount Amt]]</f>
        <v>16011.3</v>
      </c>
      <c r="N24" t="s">
        <v>28</v>
      </c>
      <c r="O24" t="s">
        <v>142</v>
      </c>
      <c r="P24" t="s">
        <v>143</v>
      </c>
      <c r="R24" s="3" t="s">
        <v>162</v>
      </c>
      <c r="S24" t="s">
        <v>167</v>
      </c>
    </row>
    <row r="25" spans="1:21" x14ac:dyDescent="0.3">
      <c r="A25">
        <v>1025</v>
      </c>
      <c r="B25" s="2">
        <v>46129</v>
      </c>
      <c r="C25" t="s">
        <v>64</v>
      </c>
      <c r="D25" t="s">
        <v>145</v>
      </c>
      <c r="E25" t="s">
        <v>36</v>
      </c>
      <c r="F25" t="s">
        <v>37</v>
      </c>
      <c r="G25" t="s">
        <v>40</v>
      </c>
      <c r="H25">
        <v>4</v>
      </c>
      <c r="I25">
        <v>2307</v>
      </c>
      <c r="J25">
        <f>Table1_1[[#This Row],[Quantity]]*Table1_1[[#This Row],[Unit Price]]</f>
        <v>9228</v>
      </c>
      <c r="K25">
        <v>10</v>
      </c>
      <c r="L25">
        <f>Table1_1[[#This Row],[Total Sales]]*Table1_1[[#This Row],[Discount %]]/100</f>
        <v>922.8</v>
      </c>
      <c r="M25">
        <f>Table1_1[[#This Row],[Total Sales]]-Table1_1[[#This Row],[Discount Amt]]</f>
        <v>8305.2000000000007</v>
      </c>
      <c r="N25" t="s">
        <v>141</v>
      </c>
      <c r="O25" t="s">
        <v>142</v>
      </c>
      <c r="P25" t="s">
        <v>148</v>
      </c>
      <c r="R25" s="4" t="s">
        <v>28</v>
      </c>
      <c r="S25">
        <v>49</v>
      </c>
    </row>
    <row r="26" spans="1:21" x14ac:dyDescent="0.3">
      <c r="A26">
        <v>1026</v>
      </c>
      <c r="B26" s="2">
        <v>46030</v>
      </c>
      <c r="C26" t="s">
        <v>65</v>
      </c>
      <c r="D26" t="s">
        <v>145</v>
      </c>
      <c r="E26" t="s">
        <v>25</v>
      </c>
      <c r="F26" t="s">
        <v>32</v>
      </c>
      <c r="G26" t="s">
        <v>17</v>
      </c>
      <c r="H26">
        <v>2</v>
      </c>
      <c r="I26">
        <v>1874</v>
      </c>
      <c r="J26">
        <f>Table1_1[[#This Row],[Quantity]]*Table1_1[[#This Row],[Unit Price]]</f>
        <v>3748</v>
      </c>
      <c r="K26">
        <v>0</v>
      </c>
      <c r="L26">
        <f>Table1_1[[#This Row],[Total Sales]]*Table1_1[[#This Row],[Discount %]]/100</f>
        <v>0</v>
      </c>
      <c r="M26">
        <f>Table1_1[[#This Row],[Total Sales]]-Table1_1[[#This Row],[Discount Amt]]</f>
        <v>3748</v>
      </c>
      <c r="N26" t="s">
        <v>144</v>
      </c>
      <c r="O26" t="s">
        <v>29</v>
      </c>
      <c r="P26" t="s">
        <v>151</v>
      </c>
      <c r="R26" s="4" t="s">
        <v>141</v>
      </c>
      <c r="S26">
        <v>51</v>
      </c>
    </row>
    <row r="27" spans="1:21" x14ac:dyDescent="0.3">
      <c r="A27">
        <v>1027</v>
      </c>
      <c r="B27" s="2">
        <v>46075</v>
      </c>
      <c r="C27" t="s">
        <v>66</v>
      </c>
      <c r="D27" t="s">
        <v>147</v>
      </c>
      <c r="E27" t="s">
        <v>15</v>
      </c>
      <c r="F27" t="s">
        <v>16</v>
      </c>
      <c r="G27" t="s">
        <v>17</v>
      </c>
      <c r="H27">
        <v>9</v>
      </c>
      <c r="I27">
        <v>2591</v>
      </c>
      <c r="J27">
        <f>Table1_1[[#This Row],[Quantity]]*Table1_1[[#This Row],[Unit Price]]</f>
        <v>23319</v>
      </c>
      <c r="K27">
        <v>10</v>
      </c>
      <c r="L27">
        <f>Table1_1[[#This Row],[Total Sales]]*Table1_1[[#This Row],[Discount %]]/100</f>
        <v>2331.9</v>
      </c>
      <c r="M27">
        <f>Table1_1[[#This Row],[Total Sales]]-Table1_1[[#This Row],[Discount Amt]]</f>
        <v>20987.1</v>
      </c>
      <c r="N27" t="s">
        <v>141</v>
      </c>
      <c r="O27" t="s">
        <v>33</v>
      </c>
      <c r="P27" t="s">
        <v>150</v>
      </c>
      <c r="R27" s="4" t="s">
        <v>163</v>
      </c>
      <c r="S27">
        <v>100</v>
      </c>
    </row>
    <row r="28" spans="1:21" x14ac:dyDescent="0.3">
      <c r="A28">
        <v>1028</v>
      </c>
      <c r="B28" s="2">
        <v>46153</v>
      </c>
      <c r="C28" t="s">
        <v>67</v>
      </c>
      <c r="D28" t="s">
        <v>149</v>
      </c>
      <c r="E28" t="s">
        <v>36</v>
      </c>
      <c r="F28" t="s">
        <v>54</v>
      </c>
      <c r="G28" t="s">
        <v>40</v>
      </c>
      <c r="H28">
        <v>10</v>
      </c>
      <c r="I28">
        <v>2973</v>
      </c>
      <c r="J28">
        <f>Table1_1[[#This Row],[Quantity]]*Table1_1[[#This Row],[Unit Price]]</f>
        <v>29730</v>
      </c>
      <c r="K28">
        <v>5</v>
      </c>
      <c r="L28">
        <f>Table1_1[[#This Row],[Total Sales]]*Table1_1[[#This Row],[Discount %]]/100</f>
        <v>1486.5</v>
      </c>
      <c r="M28">
        <f>Table1_1[[#This Row],[Total Sales]]-Table1_1[[#This Row],[Discount Amt]]</f>
        <v>28243.5</v>
      </c>
      <c r="N28" t="s">
        <v>144</v>
      </c>
      <c r="O28" t="s">
        <v>29</v>
      </c>
      <c r="P28" t="s">
        <v>150</v>
      </c>
    </row>
    <row r="29" spans="1:21" x14ac:dyDescent="0.3">
      <c r="A29">
        <v>1029</v>
      </c>
      <c r="B29" s="2">
        <v>46122</v>
      </c>
      <c r="C29" t="s">
        <v>68</v>
      </c>
      <c r="D29" t="s">
        <v>145</v>
      </c>
      <c r="E29" t="s">
        <v>15</v>
      </c>
      <c r="F29" t="s">
        <v>16</v>
      </c>
      <c r="G29" t="s">
        <v>40</v>
      </c>
      <c r="H29">
        <v>1</v>
      </c>
      <c r="I29">
        <v>1713</v>
      </c>
      <c r="J29">
        <f>Table1_1[[#This Row],[Quantity]]*Table1_1[[#This Row],[Unit Price]]</f>
        <v>1713</v>
      </c>
      <c r="K29">
        <v>0</v>
      </c>
      <c r="L29">
        <f>Table1_1[[#This Row],[Total Sales]]*Table1_1[[#This Row],[Discount %]]/100</f>
        <v>0</v>
      </c>
      <c r="M29">
        <f>Table1_1[[#This Row],[Total Sales]]-Table1_1[[#This Row],[Discount Amt]]</f>
        <v>1713</v>
      </c>
      <c r="N29" t="s">
        <v>28</v>
      </c>
      <c r="O29" t="s">
        <v>29</v>
      </c>
      <c r="P29" t="s">
        <v>143</v>
      </c>
    </row>
    <row r="30" spans="1:21" x14ac:dyDescent="0.3">
      <c r="A30">
        <v>1030</v>
      </c>
      <c r="B30" s="2">
        <v>46163</v>
      </c>
      <c r="C30" t="s">
        <v>69</v>
      </c>
      <c r="D30" t="s">
        <v>145</v>
      </c>
      <c r="E30" t="s">
        <v>25</v>
      </c>
      <c r="F30" t="s">
        <v>32</v>
      </c>
      <c r="G30" t="s">
        <v>46</v>
      </c>
      <c r="H30">
        <v>2</v>
      </c>
      <c r="I30">
        <v>4916</v>
      </c>
      <c r="J30">
        <f>Table1_1[[#This Row],[Quantity]]*Table1_1[[#This Row],[Unit Price]]</f>
        <v>9832</v>
      </c>
      <c r="K30">
        <v>5</v>
      </c>
      <c r="L30">
        <f>Table1_1[[#This Row],[Total Sales]]*Table1_1[[#This Row],[Discount %]]/100</f>
        <v>491.6</v>
      </c>
      <c r="M30">
        <f>Table1_1[[#This Row],[Total Sales]]-Table1_1[[#This Row],[Discount Amt]]</f>
        <v>9340.4</v>
      </c>
      <c r="N30" t="s">
        <v>28</v>
      </c>
      <c r="O30" t="s">
        <v>142</v>
      </c>
      <c r="P30" t="s">
        <v>150</v>
      </c>
    </row>
    <row r="31" spans="1:21" x14ac:dyDescent="0.3">
      <c r="A31">
        <v>1031</v>
      </c>
      <c r="B31" s="2">
        <v>46061</v>
      </c>
      <c r="C31" t="s">
        <v>70</v>
      </c>
      <c r="D31" t="s">
        <v>146</v>
      </c>
      <c r="E31" t="s">
        <v>25</v>
      </c>
      <c r="F31" t="s">
        <v>32</v>
      </c>
      <c r="G31" t="s">
        <v>46</v>
      </c>
      <c r="H31">
        <v>7</v>
      </c>
      <c r="I31">
        <v>2683</v>
      </c>
      <c r="J31">
        <f>Table1_1[[#This Row],[Quantity]]*Table1_1[[#This Row],[Unit Price]]</f>
        <v>18781</v>
      </c>
      <c r="K31">
        <v>10</v>
      </c>
      <c r="L31">
        <f>Table1_1[[#This Row],[Total Sales]]*Table1_1[[#This Row],[Discount %]]/100</f>
        <v>1878.1</v>
      </c>
      <c r="M31">
        <f>Table1_1[[#This Row],[Total Sales]]-Table1_1[[#This Row],[Discount Amt]]</f>
        <v>16902.900000000001</v>
      </c>
      <c r="N31" t="s">
        <v>141</v>
      </c>
      <c r="O31" t="s">
        <v>142</v>
      </c>
      <c r="P31" t="s">
        <v>151</v>
      </c>
    </row>
    <row r="32" spans="1:21" x14ac:dyDescent="0.3">
      <c r="A32">
        <v>1032</v>
      </c>
      <c r="B32" s="2">
        <v>46122</v>
      </c>
      <c r="C32" t="s">
        <v>71</v>
      </c>
      <c r="D32" t="s">
        <v>147</v>
      </c>
      <c r="E32" t="s">
        <v>15</v>
      </c>
      <c r="F32" t="s">
        <v>45</v>
      </c>
      <c r="G32" t="s">
        <v>40</v>
      </c>
      <c r="H32">
        <v>10</v>
      </c>
      <c r="I32">
        <v>4144</v>
      </c>
      <c r="J32">
        <f>Table1_1[[#This Row],[Quantity]]*Table1_1[[#This Row],[Unit Price]]</f>
        <v>41440</v>
      </c>
      <c r="K32">
        <v>15</v>
      </c>
      <c r="L32">
        <f>Table1_1[[#This Row],[Total Sales]]*Table1_1[[#This Row],[Discount %]]/100</f>
        <v>6216</v>
      </c>
      <c r="M32">
        <f>Table1_1[[#This Row],[Total Sales]]-Table1_1[[#This Row],[Discount Amt]]</f>
        <v>35224</v>
      </c>
      <c r="N32" t="s">
        <v>144</v>
      </c>
      <c r="O32" t="s">
        <v>33</v>
      </c>
      <c r="P32" t="s">
        <v>148</v>
      </c>
    </row>
    <row r="33" spans="1:16" x14ac:dyDescent="0.3">
      <c r="A33">
        <v>1033</v>
      </c>
      <c r="B33" s="2">
        <v>46133</v>
      </c>
      <c r="C33" t="s">
        <v>72</v>
      </c>
      <c r="D33" t="s">
        <v>147</v>
      </c>
      <c r="E33" t="s">
        <v>36</v>
      </c>
      <c r="F33" t="s">
        <v>39</v>
      </c>
      <c r="G33" t="s">
        <v>27</v>
      </c>
      <c r="H33">
        <v>7</v>
      </c>
      <c r="I33">
        <v>4072</v>
      </c>
      <c r="J33">
        <f>Table1_1[[#This Row],[Quantity]]*Table1_1[[#This Row],[Unit Price]]</f>
        <v>28504</v>
      </c>
      <c r="K33">
        <v>15</v>
      </c>
      <c r="L33">
        <f>Table1_1[[#This Row],[Total Sales]]*Table1_1[[#This Row],[Discount %]]/100</f>
        <v>4275.6000000000004</v>
      </c>
      <c r="M33">
        <f>Table1_1[[#This Row],[Total Sales]]-Table1_1[[#This Row],[Discount Amt]]</f>
        <v>24228.400000000001</v>
      </c>
      <c r="N33" t="s">
        <v>144</v>
      </c>
      <c r="O33" t="s">
        <v>142</v>
      </c>
      <c r="P33" t="s">
        <v>151</v>
      </c>
    </row>
    <row r="34" spans="1:16" x14ac:dyDescent="0.3">
      <c r="A34">
        <v>1034</v>
      </c>
      <c r="B34" s="2">
        <v>46057</v>
      </c>
      <c r="C34" t="s">
        <v>73</v>
      </c>
      <c r="D34" t="s">
        <v>145</v>
      </c>
      <c r="E34" t="s">
        <v>25</v>
      </c>
      <c r="F34" t="s">
        <v>32</v>
      </c>
      <c r="G34" t="s">
        <v>46</v>
      </c>
      <c r="H34">
        <v>9</v>
      </c>
      <c r="I34">
        <v>2346</v>
      </c>
      <c r="J34">
        <f>Table1_1[[#This Row],[Quantity]]*Table1_1[[#This Row],[Unit Price]]</f>
        <v>21114</v>
      </c>
      <c r="K34">
        <v>15</v>
      </c>
      <c r="L34">
        <f>Table1_1[[#This Row],[Total Sales]]*Table1_1[[#This Row],[Discount %]]/100</f>
        <v>3167.1</v>
      </c>
      <c r="M34">
        <f>Table1_1[[#This Row],[Total Sales]]-Table1_1[[#This Row],[Discount Amt]]</f>
        <v>17946.900000000001</v>
      </c>
      <c r="N34" t="s">
        <v>28</v>
      </c>
      <c r="O34" t="s">
        <v>29</v>
      </c>
      <c r="P34" t="s">
        <v>143</v>
      </c>
    </row>
    <row r="35" spans="1:16" x14ac:dyDescent="0.3">
      <c r="A35">
        <v>1035</v>
      </c>
      <c r="B35" s="2">
        <v>46045</v>
      </c>
      <c r="C35" t="s">
        <v>74</v>
      </c>
      <c r="D35" t="s">
        <v>147</v>
      </c>
      <c r="E35" t="s">
        <v>15</v>
      </c>
      <c r="F35" t="s">
        <v>45</v>
      </c>
      <c r="G35" t="s">
        <v>46</v>
      </c>
      <c r="H35">
        <v>2</v>
      </c>
      <c r="I35">
        <v>546</v>
      </c>
      <c r="J35">
        <f>Table1_1[[#This Row],[Quantity]]*Table1_1[[#This Row],[Unit Price]]</f>
        <v>1092</v>
      </c>
      <c r="K35">
        <v>5</v>
      </c>
      <c r="L35">
        <f>Table1_1[[#This Row],[Total Sales]]*Table1_1[[#This Row],[Discount %]]/100</f>
        <v>54.6</v>
      </c>
      <c r="M35">
        <f>Table1_1[[#This Row],[Total Sales]]-Table1_1[[#This Row],[Discount Amt]]</f>
        <v>1037.4000000000001</v>
      </c>
      <c r="N35" t="s">
        <v>144</v>
      </c>
      <c r="O35" t="s">
        <v>29</v>
      </c>
      <c r="P35" t="s">
        <v>143</v>
      </c>
    </row>
    <row r="36" spans="1:16" x14ac:dyDescent="0.3">
      <c r="A36">
        <v>1036</v>
      </c>
      <c r="B36" s="2">
        <v>46113</v>
      </c>
      <c r="C36" t="s">
        <v>75</v>
      </c>
      <c r="D36" t="s">
        <v>146</v>
      </c>
      <c r="E36" t="s">
        <v>36</v>
      </c>
      <c r="F36" t="s">
        <v>54</v>
      </c>
      <c r="G36" t="s">
        <v>40</v>
      </c>
      <c r="H36">
        <v>10</v>
      </c>
      <c r="I36">
        <v>705</v>
      </c>
      <c r="J36">
        <f>Table1_1[[#This Row],[Quantity]]*Table1_1[[#This Row],[Unit Price]]</f>
        <v>7050</v>
      </c>
      <c r="K36">
        <v>0</v>
      </c>
      <c r="L36">
        <f>Table1_1[[#This Row],[Total Sales]]*Table1_1[[#This Row],[Discount %]]/100</f>
        <v>0</v>
      </c>
      <c r="M36">
        <f>Table1_1[[#This Row],[Total Sales]]-Table1_1[[#This Row],[Discount Amt]]</f>
        <v>7050</v>
      </c>
      <c r="N36" t="s">
        <v>28</v>
      </c>
      <c r="O36" t="s">
        <v>29</v>
      </c>
      <c r="P36" t="s">
        <v>148</v>
      </c>
    </row>
    <row r="37" spans="1:16" x14ac:dyDescent="0.3">
      <c r="A37">
        <v>1037</v>
      </c>
      <c r="B37" s="2">
        <v>46141</v>
      </c>
      <c r="C37" t="s">
        <v>76</v>
      </c>
      <c r="D37" t="s">
        <v>146</v>
      </c>
      <c r="E37" t="s">
        <v>15</v>
      </c>
      <c r="F37" t="s">
        <v>16</v>
      </c>
      <c r="G37" t="s">
        <v>17</v>
      </c>
      <c r="H37">
        <v>4</v>
      </c>
      <c r="I37">
        <v>2514</v>
      </c>
      <c r="J37">
        <f>Table1_1[[#This Row],[Quantity]]*Table1_1[[#This Row],[Unit Price]]</f>
        <v>10056</v>
      </c>
      <c r="K37">
        <v>0</v>
      </c>
      <c r="L37">
        <f>Table1_1[[#This Row],[Total Sales]]*Table1_1[[#This Row],[Discount %]]/100</f>
        <v>0</v>
      </c>
      <c r="M37">
        <f>Table1_1[[#This Row],[Total Sales]]-Table1_1[[#This Row],[Discount Amt]]</f>
        <v>10056</v>
      </c>
      <c r="N37" t="s">
        <v>28</v>
      </c>
      <c r="O37" t="s">
        <v>142</v>
      </c>
      <c r="P37" t="s">
        <v>150</v>
      </c>
    </row>
    <row r="38" spans="1:16" x14ac:dyDescent="0.3">
      <c r="A38">
        <v>1038</v>
      </c>
      <c r="B38" s="2">
        <v>46182</v>
      </c>
      <c r="C38" t="s">
        <v>77</v>
      </c>
      <c r="D38" t="s">
        <v>149</v>
      </c>
      <c r="E38" t="s">
        <v>36</v>
      </c>
      <c r="F38" t="s">
        <v>54</v>
      </c>
      <c r="G38" t="s">
        <v>27</v>
      </c>
      <c r="H38">
        <v>6</v>
      </c>
      <c r="I38">
        <v>1188</v>
      </c>
      <c r="J38">
        <f>Table1_1[[#This Row],[Quantity]]*Table1_1[[#This Row],[Unit Price]]</f>
        <v>7128</v>
      </c>
      <c r="K38">
        <v>0</v>
      </c>
      <c r="L38">
        <f>Table1_1[[#This Row],[Total Sales]]*Table1_1[[#This Row],[Discount %]]/100</f>
        <v>0</v>
      </c>
      <c r="M38">
        <f>Table1_1[[#This Row],[Total Sales]]-Table1_1[[#This Row],[Discount Amt]]</f>
        <v>7128</v>
      </c>
      <c r="N38" t="s">
        <v>28</v>
      </c>
      <c r="O38" t="s">
        <v>33</v>
      </c>
      <c r="P38" t="s">
        <v>148</v>
      </c>
    </row>
    <row r="39" spans="1:16" x14ac:dyDescent="0.3">
      <c r="A39">
        <v>1039</v>
      </c>
      <c r="B39" s="2">
        <v>46087</v>
      </c>
      <c r="C39" t="s">
        <v>78</v>
      </c>
      <c r="D39" t="s">
        <v>149</v>
      </c>
      <c r="E39" t="s">
        <v>15</v>
      </c>
      <c r="F39" t="s">
        <v>45</v>
      </c>
      <c r="G39" t="s">
        <v>40</v>
      </c>
      <c r="H39">
        <v>6</v>
      </c>
      <c r="I39">
        <v>4718</v>
      </c>
      <c r="J39">
        <f>Table1_1[[#This Row],[Quantity]]*Table1_1[[#This Row],[Unit Price]]</f>
        <v>28308</v>
      </c>
      <c r="K39">
        <v>5</v>
      </c>
      <c r="L39">
        <f>Table1_1[[#This Row],[Total Sales]]*Table1_1[[#This Row],[Discount %]]/100</f>
        <v>1415.4</v>
      </c>
      <c r="M39">
        <f>Table1_1[[#This Row],[Total Sales]]-Table1_1[[#This Row],[Discount Amt]]</f>
        <v>26892.6</v>
      </c>
      <c r="N39" t="s">
        <v>28</v>
      </c>
      <c r="O39" t="s">
        <v>33</v>
      </c>
      <c r="P39" t="s">
        <v>148</v>
      </c>
    </row>
    <row r="40" spans="1:16" x14ac:dyDescent="0.3">
      <c r="A40">
        <v>1040</v>
      </c>
      <c r="B40" s="2">
        <v>46181</v>
      </c>
      <c r="C40" t="s">
        <v>79</v>
      </c>
      <c r="D40" t="s">
        <v>146</v>
      </c>
      <c r="E40" t="s">
        <v>36</v>
      </c>
      <c r="F40" t="s">
        <v>37</v>
      </c>
      <c r="G40" t="s">
        <v>40</v>
      </c>
      <c r="H40">
        <v>8</v>
      </c>
      <c r="I40">
        <v>565</v>
      </c>
      <c r="J40">
        <f>Table1_1[[#This Row],[Quantity]]*Table1_1[[#This Row],[Unit Price]]</f>
        <v>4520</v>
      </c>
      <c r="K40">
        <v>15</v>
      </c>
      <c r="L40">
        <f>Table1_1[[#This Row],[Total Sales]]*Table1_1[[#This Row],[Discount %]]/100</f>
        <v>678</v>
      </c>
      <c r="M40">
        <f>Table1_1[[#This Row],[Total Sales]]-Table1_1[[#This Row],[Discount Amt]]</f>
        <v>3842</v>
      </c>
      <c r="N40" t="s">
        <v>28</v>
      </c>
      <c r="O40" t="s">
        <v>33</v>
      </c>
      <c r="P40" t="s">
        <v>148</v>
      </c>
    </row>
    <row r="41" spans="1:16" x14ac:dyDescent="0.3">
      <c r="A41">
        <v>1041</v>
      </c>
      <c r="B41" s="2">
        <v>46063</v>
      </c>
      <c r="C41" t="s">
        <v>80</v>
      </c>
      <c r="D41" t="s">
        <v>146</v>
      </c>
      <c r="E41" t="s">
        <v>36</v>
      </c>
      <c r="F41" t="s">
        <v>37</v>
      </c>
      <c r="G41" t="s">
        <v>17</v>
      </c>
      <c r="H41">
        <v>3</v>
      </c>
      <c r="I41">
        <v>4102</v>
      </c>
      <c r="J41">
        <f>Table1_1[[#This Row],[Quantity]]*Table1_1[[#This Row],[Unit Price]]</f>
        <v>12306</v>
      </c>
      <c r="K41">
        <v>5</v>
      </c>
      <c r="L41">
        <f>Table1_1[[#This Row],[Total Sales]]*Table1_1[[#This Row],[Discount %]]/100</f>
        <v>615.29999999999995</v>
      </c>
      <c r="M41">
        <f>Table1_1[[#This Row],[Total Sales]]-Table1_1[[#This Row],[Discount Amt]]</f>
        <v>11690.7</v>
      </c>
      <c r="N41" t="s">
        <v>28</v>
      </c>
      <c r="O41" t="s">
        <v>142</v>
      </c>
      <c r="P41" t="s">
        <v>143</v>
      </c>
    </row>
    <row r="42" spans="1:16" x14ac:dyDescent="0.3">
      <c r="A42">
        <v>1042</v>
      </c>
      <c r="B42" s="2">
        <v>46052</v>
      </c>
      <c r="C42" t="s">
        <v>81</v>
      </c>
      <c r="D42" t="s">
        <v>145</v>
      </c>
      <c r="E42" t="s">
        <v>15</v>
      </c>
      <c r="F42" t="s">
        <v>45</v>
      </c>
      <c r="G42" t="s">
        <v>17</v>
      </c>
      <c r="H42">
        <v>4</v>
      </c>
      <c r="I42">
        <v>713</v>
      </c>
      <c r="J42">
        <f>Table1_1[[#This Row],[Quantity]]*Table1_1[[#This Row],[Unit Price]]</f>
        <v>2852</v>
      </c>
      <c r="K42">
        <v>15</v>
      </c>
      <c r="L42">
        <f>Table1_1[[#This Row],[Total Sales]]*Table1_1[[#This Row],[Discount %]]/100</f>
        <v>427.8</v>
      </c>
      <c r="M42">
        <f>Table1_1[[#This Row],[Total Sales]]-Table1_1[[#This Row],[Discount Amt]]</f>
        <v>2424.1999999999998</v>
      </c>
      <c r="N42" t="s">
        <v>144</v>
      </c>
      <c r="O42" t="s">
        <v>142</v>
      </c>
      <c r="P42" t="s">
        <v>150</v>
      </c>
    </row>
    <row r="43" spans="1:16" x14ac:dyDescent="0.3">
      <c r="A43">
        <v>1043</v>
      </c>
      <c r="B43" s="2">
        <v>46156</v>
      </c>
      <c r="C43" t="s">
        <v>82</v>
      </c>
      <c r="D43" t="s">
        <v>14</v>
      </c>
      <c r="E43" t="s">
        <v>15</v>
      </c>
      <c r="F43" t="s">
        <v>45</v>
      </c>
      <c r="G43" t="s">
        <v>27</v>
      </c>
      <c r="H43">
        <v>5</v>
      </c>
      <c r="I43">
        <v>2283</v>
      </c>
      <c r="J43">
        <f>Table1_1[[#This Row],[Quantity]]*Table1_1[[#This Row],[Unit Price]]</f>
        <v>11415</v>
      </c>
      <c r="K43">
        <v>15</v>
      </c>
      <c r="L43">
        <f>Table1_1[[#This Row],[Total Sales]]*Table1_1[[#This Row],[Discount %]]/100</f>
        <v>1712.25</v>
      </c>
      <c r="M43">
        <f>Table1_1[[#This Row],[Total Sales]]-Table1_1[[#This Row],[Discount Amt]]</f>
        <v>9702.75</v>
      </c>
      <c r="N43" t="s">
        <v>28</v>
      </c>
      <c r="O43" t="s">
        <v>29</v>
      </c>
      <c r="P43" t="s">
        <v>148</v>
      </c>
    </row>
    <row r="44" spans="1:16" x14ac:dyDescent="0.3">
      <c r="A44">
        <v>1044</v>
      </c>
      <c r="B44" s="2">
        <v>46078</v>
      </c>
      <c r="C44" t="s">
        <v>83</v>
      </c>
      <c r="D44" t="s">
        <v>14</v>
      </c>
      <c r="E44" t="s">
        <v>36</v>
      </c>
      <c r="F44" t="s">
        <v>39</v>
      </c>
      <c r="G44" t="s">
        <v>46</v>
      </c>
      <c r="H44">
        <v>8</v>
      </c>
      <c r="I44">
        <v>1957</v>
      </c>
      <c r="J44">
        <f>Table1_1[[#This Row],[Quantity]]*Table1_1[[#This Row],[Unit Price]]</f>
        <v>15656</v>
      </c>
      <c r="K44">
        <v>10</v>
      </c>
      <c r="L44">
        <f>Table1_1[[#This Row],[Total Sales]]*Table1_1[[#This Row],[Discount %]]/100</f>
        <v>1565.6</v>
      </c>
      <c r="M44">
        <f>Table1_1[[#This Row],[Total Sales]]-Table1_1[[#This Row],[Discount Amt]]</f>
        <v>14090.4</v>
      </c>
      <c r="N44" t="s">
        <v>28</v>
      </c>
      <c r="O44" t="s">
        <v>142</v>
      </c>
      <c r="P44" t="s">
        <v>143</v>
      </c>
    </row>
    <row r="45" spans="1:16" x14ac:dyDescent="0.3">
      <c r="A45">
        <v>1045</v>
      </c>
      <c r="B45" s="2">
        <v>46046</v>
      </c>
      <c r="C45" t="s">
        <v>84</v>
      </c>
      <c r="D45" t="s">
        <v>149</v>
      </c>
      <c r="E45" t="s">
        <v>25</v>
      </c>
      <c r="F45" t="s">
        <v>26</v>
      </c>
      <c r="G45" t="s">
        <v>46</v>
      </c>
      <c r="H45">
        <v>10</v>
      </c>
      <c r="I45">
        <v>2544</v>
      </c>
      <c r="J45">
        <f>Table1_1[[#This Row],[Quantity]]*Table1_1[[#This Row],[Unit Price]]</f>
        <v>25440</v>
      </c>
      <c r="K45">
        <v>5</v>
      </c>
      <c r="L45">
        <f>Table1_1[[#This Row],[Total Sales]]*Table1_1[[#This Row],[Discount %]]/100</f>
        <v>1272</v>
      </c>
      <c r="M45">
        <f>Table1_1[[#This Row],[Total Sales]]-Table1_1[[#This Row],[Discount Amt]]</f>
        <v>24168</v>
      </c>
      <c r="N45" t="s">
        <v>28</v>
      </c>
      <c r="O45" t="s">
        <v>142</v>
      </c>
      <c r="P45" t="s">
        <v>151</v>
      </c>
    </row>
    <row r="46" spans="1:16" x14ac:dyDescent="0.3">
      <c r="A46">
        <v>1046</v>
      </c>
      <c r="B46" s="2">
        <v>46180</v>
      </c>
      <c r="C46" t="s">
        <v>85</v>
      </c>
      <c r="D46" t="s">
        <v>146</v>
      </c>
      <c r="E46" t="s">
        <v>25</v>
      </c>
      <c r="F46" t="s">
        <v>26</v>
      </c>
      <c r="G46" t="s">
        <v>40</v>
      </c>
      <c r="H46">
        <v>1</v>
      </c>
      <c r="I46">
        <v>353</v>
      </c>
      <c r="J46">
        <f>Table1_1[[#This Row],[Quantity]]*Table1_1[[#This Row],[Unit Price]]</f>
        <v>353</v>
      </c>
      <c r="K46">
        <v>15</v>
      </c>
      <c r="L46">
        <f>Table1_1[[#This Row],[Total Sales]]*Table1_1[[#This Row],[Discount %]]/100</f>
        <v>52.95</v>
      </c>
      <c r="M46">
        <f>Table1_1[[#This Row],[Total Sales]]-Table1_1[[#This Row],[Discount Amt]]</f>
        <v>300.05</v>
      </c>
      <c r="N46" t="s">
        <v>28</v>
      </c>
      <c r="O46" t="s">
        <v>29</v>
      </c>
      <c r="P46" t="s">
        <v>148</v>
      </c>
    </row>
    <row r="47" spans="1:16" x14ac:dyDescent="0.3">
      <c r="A47">
        <v>1047</v>
      </c>
      <c r="B47" s="2">
        <v>46162</v>
      </c>
      <c r="C47" t="s">
        <v>86</v>
      </c>
      <c r="D47" t="s">
        <v>147</v>
      </c>
      <c r="E47" t="s">
        <v>25</v>
      </c>
      <c r="F47" t="s">
        <v>32</v>
      </c>
      <c r="G47" t="s">
        <v>46</v>
      </c>
      <c r="H47">
        <v>9</v>
      </c>
      <c r="I47">
        <v>4928</v>
      </c>
      <c r="J47">
        <f>Table1_1[[#This Row],[Quantity]]*Table1_1[[#This Row],[Unit Price]]</f>
        <v>44352</v>
      </c>
      <c r="K47">
        <v>0</v>
      </c>
      <c r="L47">
        <f>Table1_1[[#This Row],[Total Sales]]*Table1_1[[#This Row],[Discount %]]/100</f>
        <v>0</v>
      </c>
      <c r="M47">
        <f>Table1_1[[#This Row],[Total Sales]]-Table1_1[[#This Row],[Discount Amt]]</f>
        <v>44352</v>
      </c>
      <c r="N47" t="s">
        <v>141</v>
      </c>
      <c r="O47" t="s">
        <v>142</v>
      </c>
      <c r="P47" t="s">
        <v>148</v>
      </c>
    </row>
    <row r="48" spans="1:16" x14ac:dyDescent="0.3">
      <c r="A48">
        <v>1048</v>
      </c>
      <c r="B48" s="2">
        <v>46078</v>
      </c>
      <c r="C48" t="s">
        <v>87</v>
      </c>
      <c r="D48" t="s">
        <v>146</v>
      </c>
      <c r="E48" t="s">
        <v>15</v>
      </c>
      <c r="F48" t="s">
        <v>16</v>
      </c>
      <c r="G48" t="s">
        <v>46</v>
      </c>
      <c r="H48">
        <v>9</v>
      </c>
      <c r="I48">
        <v>1271</v>
      </c>
      <c r="J48">
        <f>Table1_1[[#This Row],[Quantity]]*Table1_1[[#This Row],[Unit Price]]</f>
        <v>11439</v>
      </c>
      <c r="K48">
        <v>15</v>
      </c>
      <c r="L48">
        <f>Table1_1[[#This Row],[Total Sales]]*Table1_1[[#This Row],[Discount %]]/100</f>
        <v>1715.85</v>
      </c>
      <c r="M48">
        <f>Table1_1[[#This Row],[Total Sales]]-Table1_1[[#This Row],[Discount Amt]]</f>
        <v>9723.15</v>
      </c>
      <c r="N48" t="s">
        <v>144</v>
      </c>
      <c r="O48" t="s">
        <v>142</v>
      </c>
      <c r="P48" t="s">
        <v>150</v>
      </c>
    </row>
    <row r="49" spans="1:16" x14ac:dyDescent="0.3">
      <c r="A49">
        <v>1049</v>
      </c>
      <c r="B49" s="2">
        <v>46052</v>
      </c>
      <c r="C49" t="s">
        <v>88</v>
      </c>
      <c r="D49" t="s">
        <v>149</v>
      </c>
      <c r="E49" t="s">
        <v>15</v>
      </c>
      <c r="F49" t="s">
        <v>16</v>
      </c>
      <c r="G49" t="s">
        <v>40</v>
      </c>
      <c r="H49">
        <v>6</v>
      </c>
      <c r="I49">
        <v>4683</v>
      </c>
      <c r="J49">
        <f>Table1_1[[#This Row],[Quantity]]*Table1_1[[#This Row],[Unit Price]]</f>
        <v>28098</v>
      </c>
      <c r="K49">
        <v>15</v>
      </c>
      <c r="L49">
        <f>Table1_1[[#This Row],[Total Sales]]*Table1_1[[#This Row],[Discount %]]/100</f>
        <v>4214.7</v>
      </c>
      <c r="M49">
        <f>Table1_1[[#This Row],[Total Sales]]-Table1_1[[#This Row],[Discount Amt]]</f>
        <v>23883.3</v>
      </c>
      <c r="N49" t="s">
        <v>28</v>
      </c>
      <c r="O49" t="s">
        <v>29</v>
      </c>
      <c r="P49" t="s">
        <v>151</v>
      </c>
    </row>
    <row r="50" spans="1:16" x14ac:dyDescent="0.3">
      <c r="A50">
        <v>1050</v>
      </c>
      <c r="B50" s="2">
        <v>46189</v>
      </c>
      <c r="C50" t="s">
        <v>89</v>
      </c>
      <c r="D50" t="s">
        <v>146</v>
      </c>
      <c r="E50" t="s">
        <v>25</v>
      </c>
      <c r="F50" t="s">
        <v>26</v>
      </c>
      <c r="G50" t="s">
        <v>46</v>
      </c>
      <c r="H50">
        <v>7</v>
      </c>
      <c r="I50">
        <v>2360</v>
      </c>
      <c r="J50">
        <f>Table1_1[[#This Row],[Quantity]]*Table1_1[[#This Row],[Unit Price]]</f>
        <v>16520</v>
      </c>
      <c r="K50">
        <v>10</v>
      </c>
      <c r="L50">
        <f>Table1_1[[#This Row],[Total Sales]]*Table1_1[[#This Row],[Discount %]]/100</f>
        <v>1652</v>
      </c>
      <c r="M50">
        <f>Table1_1[[#This Row],[Total Sales]]-Table1_1[[#This Row],[Discount Amt]]</f>
        <v>14868</v>
      </c>
      <c r="N50" t="s">
        <v>144</v>
      </c>
      <c r="O50" t="s">
        <v>29</v>
      </c>
      <c r="P50" t="s">
        <v>150</v>
      </c>
    </row>
    <row r="51" spans="1:16" x14ac:dyDescent="0.3">
      <c r="A51">
        <v>1051</v>
      </c>
      <c r="B51" s="2">
        <v>46054</v>
      </c>
      <c r="C51" t="s">
        <v>90</v>
      </c>
      <c r="D51" t="s">
        <v>149</v>
      </c>
      <c r="E51" t="s">
        <v>25</v>
      </c>
      <c r="F51" t="s">
        <v>26</v>
      </c>
      <c r="G51" t="s">
        <v>46</v>
      </c>
      <c r="H51">
        <v>10</v>
      </c>
      <c r="I51">
        <v>385</v>
      </c>
      <c r="J51">
        <f>Table1_1[[#This Row],[Quantity]]*Table1_1[[#This Row],[Unit Price]]</f>
        <v>3850</v>
      </c>
      <c r="K51">
        <v>0</v>
      </c>
      <c r="L51">
        <f>Table1_1[[#This Row],[Total Sales]]*Table1_1[[#This Row],[Discount %]]/100</f>
        <v>0</v>
      </c>
      <c r="M51">
        <f>Table1_1[[#This Row],[Total Sales]]-Table1_1[[#This Row],[Discount Amt]]</f>
        <v>3850</v>
      </c>
      <c r="N51" t="s">
        <v>28</v>
      </c>
      <c r="O51" t="s">
        <v>29</v>
      </c>
      <c r="P51" t="s">
        <v>151</v>
      </c>
    </row>
    <row r="52" spans="1:16" x14ac:dyDescent="0.3">
      <c r="A52">
        <v>1052</v>
      </c>
      <c r="B52" s="2">
        <v>46110</v>
      </c>
      <c r="C52" t="s">
        <v>91</v>
      </c>
      <c r="D52" t="s">
        <v>149</v>
      </c>
      <c r="E52" t="s">
        <v>25</v>
      </c>
      <c r="F52" t="s">
        <v>26</v>
      </c>
      <c r="G52" t="s">
        <v>17</v>
      </c>
      <c r="H52">
        <v>5</v>
      </c>
      <c r="I52">
        <v>1649</v>
      </c>
      <c r="J52">
        <f>Table1_1[[#This Row],[Quantity]]*Table1_1[[#This Row],[Unit Price]]</f>
        <v>8245</v>
      </c>
      <c r="K52">
        <v>5</v>
      </c>
      <c r="L52">
        <f>Table1_1[[#This Row],[Total Sales]]*Table1_1[[#This Row],[Discount %]]/100</f>
        <v>412.25</v>
      </c>
      <c r="M52">
        <f>Table1_1[[#This Row],[Total Sales]]-Table1_1[[#This Row],[Discount Amt]]</f>
        <v>7832.75</v>
      </c>
      <c r="N52" t="s">
        <v>141</v>
      </c>
      <c r="O52" t="s">
        <v>29</v>
      </c>
      <c r="P52" t="s">
        <v>150</v>
      </c>
    </row>
    <row r="53" spans="1:16" x14ac:dyDescent="0.3">
      <c r="A53">
        <v>1053</v>
      </c>
      <c r="B53" s="2">
        <v>46033</v>
      </c>
      <c r="C53" t="s">
        <v>92</v>
      </c>
      <c r="D53" t="s">
        <v>145</v>
      </c>
      <c r="E53" t="s">
        <v>36</v>
      </c>
      <c r="F53" t="s">
        <v>37</v>
      </c>
      <c r="G53" t="s">
        <v>17</v>
      </c>
      <c r="H53">
        <v>7</v>
      </c>
      <c r="I53">
        <v>4810</v>
      </c>
      <c r="J53">
        <f>Table1_1[[#This Row],[Quantity]]*Table1_1[[#This Row],[Unit Price]]</f>
        <v>33670</v>
      </c>
      <c r="K53">
        <v>0</v>
      </c>
      <c r="L53">
        <f>Table1_1[[#This Row],[Total Sales]]*Table1_1[[#This Row],[Discount %]]/100</f>
        <v>0</v>
      </c>
      <c r="M53">
        <f>Table1_1[[#This Row],[Total Sales]]-Table1_1[[#This Row],[Discount Amt]]</f>
        <v>33670</v>
      </c>
      <c r="N53" t="s">
        <v>144</v>
      </c>
      <c r="O53" t="s">
        <v>33</v>
      </c>
      <c r="P53" t="s">
        <v>150</v>
      </c>
    </row>
    <row r="54" spans="1:16" x14ac:dyDescent="0.3">
      <c r="A54">
        <v>1054</v>
      </c>
      <c r="B54" s="2">
        <v>46146</v>
      </c>
      <c r="C54" t="s">
        <v>93</v>
      </c>
      <c r="D54" t="s">
        <v>145</v>
      </c>
      <c r="E54" t="s">
        <v>25</v>
      </c>
      <c r="F54" t="s">
        <v>32</v>
      </c>
      <c r="G54" t="s">
        <v>27</v>
      </c>
      <c r="H54">
        <v>7</v>
      </c>
      <c r="I54">
        <v>1749</v>
      </c>
      <c r="J54">
        <f>Table1_1[[#This Row],[Quantity]]*Table1_1[[#This Row],[Unit Price]]</f>
        <v>12243</v>
      </c>
      <c r="K54">
        <v>15</v>
      </c>
      <c r="L54">
        <f>Table1_1[[#This Row],[Total Sales]]*Table1_1[[#This Row],[Discount %]]/100</f>
        <v>1836.45</v>
      </c>
      <c r="M54">
        <f>Table1_1[[#This Row],[Total Sales]]-Table1_1[[#This Row],[Discount Amt]]</f>
        <v>10406.549999999999</v>
      </c>
      <c r="N54" t="s">
        <v>141</v>
      </c>
      <c r="O54" t="s">
        <v>142</v>
      </c>
      <c r="P54" t="s">
        <v>150</v>
      </c>
    </row>
    <row r="55" spans="1:16" x14ac:dyDescent="0.3">
      <c r="A55">
        <v>1055</v>
      </c>
      <c r="B55" s="2">
        <v>46203</v>
      </c>
      <c r="C55" t="s">
        <v>94</v>
      </c>
      <c r="D55" t="s">
        <v>149</v>
      </c>
      <c r="E55" t="s">
        <v>15</v>
      </c>
      <c r="F55" t="s">
        <v>16</v>
      </c>
      <c r="G55" t="s">
        <v>46</v>
      </c>
      <c r="H55">
        <v>8</v>
      </c>
      <c r="I55">
        <v>1461</v>
      </c>
      <c r="J55">
        <f>Table1_1[[#This Row],[Quantity]]*Table1_1[[#This Row],[Unit Price]]</f>
        <v>11688</v>
      </c>
      <c r="K55">
        <v>10</v>
      </c>
      <c r="L55">
        <f>Table1_1[[#This Row],[Total Sales]]*Table1_1[[#This Row],[Discount %]]/100</f>
        <v>1168.8</v>
      </c>
      <c r="M55">
        <f>Table1_1[[#This Row],[Total Sales]]-Table1_1[[#This Row],[Discount Amt]]</f>
        <v>10519.2</v>
      </c>
      <c r="N55" t="s">
        <v>144</v>
      </c>
      <c r="O55" t="s">
        <v>33</v>
      </c>
      <c r="P55" t="s">
        <v>151</v>
      </c>
    </row>
    <row r="56" spans="1:16" x14ac:dyDescent="0.3">
      <c r="A56">
        <v>1056</v>
      </c>
      <c r="B56" s="2">
        <v>46066</v>
      </c>
      <c r="C56" t="s">
        <v>95</v>
      </c>
      <c r="D56" t="s">
        <v>147</v>
      </c>
      <c r="E56" t="s">
        <v>25</v>
      </c>
      <c r="F56" t="s">
        <v>32</v>
      </c>
      <c r="G56" t="s">
        <v>17</v>
      </c>
      <c r="H56">
        <v>1</v>
      </c>
      <c r="I56">
        <v>941</v>
      </c>
      <c r="J56">
        <f>Table1_1[[#This Row],[Quantity]]*Table1_1[[#This Row],[Unit Price]]</f>
        <v>941</v>
      </c>
      <c r="K56">
        <v>0</v>
      </c>
      <c r="L56">
        <f>Table1_1[[#This Row],[Total Sales]]*Table1_1[[#This Row],[Discount %]]/100</f>
        <v>0</v>
      </c>
      <c r="M56">
        <f>Table1_1[[#This Row],[Total Sales]]-Table1_1[[#This Row],[Discount Amt]]</f>
        <v>941</v>
      </c>
      <c r="N56" t="s">
        <v>144</v>
      </c>
      <c r="O56" t="s">
        <v>142</v>
      </c>
      <c r="P56" t="s">
        <v>151</v>
      </c>
    </row>
    <row r="57" spans="1:16" x14ac:dyDescent="0.3">
      <c r="A57">
        <v>1057</v>
      </c>
      <c r="B57" s="2">
        <v>46163</v>
      </c>
      <c r="C57" t="s">
        <v>96</v>
      </c>
      <c r="D57" t="s">
        <v>149</v>
      </c>
      <c r="E57" t="s">
        <v>25</v>
      </c>
      <c r="F57" t="s">
        <v>26</v>
      </c>
      <c r="G57" t="s">
        <v>17</v>
      </c>
      <c r="H57">
        <v>3</v>
      </c>
      <c r="I57">
        <v>1245</v>
      </c>
      <c r="J57">
        <f>Table1_1[[#This Row],[Quantity]]*Table1_1[[#This Row],[Unit Price]]</f>
        <v>3735</v>
      </c>
      <c r="K57">
        <v>0</v>
      </c>
      <c r="L57">
        <f>Table1_1[[#This Row],[Total Sales]]*Table1_1[[#This Row],[Discount %]]/100</f>
        <v>0</v>
      </c>
      <c r="M57">
        <f>Table1_1[[#This Row],[Total Sales]]-Table1_1[[#This Row],[Discount Amt]]</f>
        <v>3735</v>
      </c>
      <c r="N57" t="s">
        <v>144</v>
      </c>
      <c r="O57" t="s">
        <v>33</v>
      </c>
      <c r="P57" t="s">
        <v>151</v>
      </c>
    </row>
    <row r="58" spans="1:16" x14ac:dyDescent="0.3">
      <c r="A58">
        <v>1058</v>
      </c>
      <c r="B58" s="2">
        <v>46096</v>
      </c>
      <c r="C58" t="s">
        <v>97</v>
      </c>
      <c r="D58" t="s">
        <v>149</v>
      </c>
      <c r="E58" t="s">
        <v>25</v>
      </c>
      <c r="F58" t="s">
        <v>32</v>
      </c>
      <c r="G58" t="s">
        <v>46</v>
      </c>
      <c r="H58">
        <v>5</v>
      </c>
      <c r="I58">
        <v>3559</v>
      </c>
      <c r="J58">
        <f>Table1_1[[#This Row],[Quantity]]*Table1_1[[#This Row],[Unit Price]]</f>
        <v>17795</v>
      </c>
      <c r="K58">
        <v>5</v>
      </c>
      <c r="L58">
        <f>Table1_1[[#This Row],[Total Sales]]*Table1_1[[#This Row],[Discount %]]/100</f>
        <v>889.75</v>
      </c>
      <c r="M58">
        <f>Table1_1[[#This Row],[Total Sales]]-Table1_1[[#This Row],[Discount Amt]]</f>
        <v>16905.25</v>
      </c>
      <c r="N58" t="s">
        <v>28</v>
      </c>
      <c r="O58" t="s">
        <v>33</v>
      </c>
      <c r="P58" t="s">
        <v>143</v>
      </c>
    </row>
    <row r="59" spans="1:16" x14ac:dyDescent="0.3">
      <c r="A59">
        <v>1059</v>
      </c>
      <c r="B59" s="2">
        <v>46081</v>
      </c>
      <c r="C59" t="s">
        <v>98</v>
      </c>
      <c r="D59" t="s">
        <v>145</v>
      </c>
      <c r="E59" t="s">
        <v>15</v>
      </c>
      <c r="F59" t="s">
        <v>16</v>
      </c>
      <c r="G59" t="s">
        <v>46</v>
      </c>
      <c r="H59">
        <v>4</v>
      </c>
      <c r="I59">
        <v>1204</v>
      </c>
      <c r="J59">
        <f>Table1_1[[#This Row],[Quantity]]*Table1_1[[#This Row],[Unit Price]]</f>
        <v>4816</v>
      </c>
      <c r="K59">
        <v>10</v>
      </c>
      <c r="L59">
        <f>Table1_1[[#This Row],[Total Sales]]*Table1_1[[#This Row],[Discount %]]/100</f>
        <v>481.6</v>
      </c>
      <c r="M59">
        <f>Table1_1[[#This Row],[Total Sales]]-Table1_1[[#This Row],[Discount Amt]]</f>
        <v>4334.3999999999996</v>
      </c>
      <c r="N59" t="s">
        <v>28</v>
      </c>
      <c r="O59" t="s">
        <v>29</v>
      </c>
      <c r="P59" t="s">
        <v>150</v>
      </c>
    </row>
    <row r="60" spans="1:16" x14ac:dyDescent="0.3">
      <c r="A60">
        <v>1060</v>
      </c>
      <c r="B60" s="2">
        <v>46045</v>
      </c>
      <c r="C60" t="s">
        <v>99</v>
      </c>
      <c r="D60" t="s">
        <v>146</v>
      </c>
      <c r="E60" t="s">
        <v>15</v>
      </c>
      <c r="F60" t="s">
        <v>16</v>
      </c>
      <c r="G60" t="s">
        <v>27</v>
      </c>
      <c r="H60">
        <v>10</v>
      </c>
      <c r="I60">
        <v>435</v>
      </c>
      <c r="J60">
        <f>Table1_1[[#This Row],[Quantity]]*Table1_1[[#This Row],[Unit Price]]</f>
        <v>4350</v>
      </c>
      <c r="K60">
        <v>10</v>
      </c>
      <c r="L60">
        <f>Table1_1[[#This Row],[Total Sales]]*Table1_1[[#This Row],[Discount %]]/100</f>
        <v>435</v>
      </c>
      <c r="M60">
        <f>Table1_1[[#This Row],[Total Sales]]-Table1_1[[#This Row],[Discount Amt]]</f>
        <v>3915</v>
      </c>
      <c r="N60" t="s">
        <v>144</v>
      </c>
      <c r="O60" t="s">
        <v>142</v>
      </c>
      <c r="P60" t="s">
        <v>150</v>
      </c>
    </row>
    <row r="61" spans="1:16" x14ac:dyDescent="0.3">
      <c r="A61">
        <v>1061</v>
      </c>
      <c r="B61" s="2">
        <v>46074</v>
      </c>
      <c r="C61" t="s">
        <v>100</v>
      </c>
      <c r="D61" t="s">
        <v>145</v>
      </c>
      <c r="E61" t="s">
        <v>25</v>
      </c>
      <c r="F61" t="s">
        <v>26</v>
      </c>
      <c r="G61" t="s">
        <v>46</v>
      </c>
      <c r="H61">
        <v>4</v>
      </c>
      <c r="I61">
        <v>4428</v>
      </c>
      <c r="J61">
        <f>Table1_1[[#This Row],[Quantity]]*Table1_1[[#This Row],[Unit Price]]</f>
        <v>17712</v>
      </c>
      <c r="K61">
        <v>0</v>
      </c>
      <c r="L61">
        <f>Table1_1[[#This Row],[Total Sales]]*Table1_1[[#This Row],[Discount %]]/100</f>
        <v>0</v>
      </c>
      <c r="M61">
        <f>Table1_1[[#This Row],[Total Sales]]-Table1_1[[#This Row],[Discount Amt]]</f>
        <v>17712</v>
      </c>
      <c r="N61" t="s">
        <v>28</v>
      </c>
      <c r="O61" t="s">
        <v>33</v>
      </c>
      <c r="P61" t="s">
        <v>151</v>
      </c>
    </row>
    <row r="62" spans="1:16" x14ac:dyDescent="0.3">
      <c r="A62">
        <v>1062</v>
      </c>
      <c r="B62" s="2">
        <v>46067</v>
      </c>
      <c r="C62" t="s">
        <v>101</v>
      </c>
      <c r="D62" t="s">
        <v>147</v>
      </c>
      <c r="E62" t="s">
        <v>15</v>
      </c>
      <c r="F62" t="s">
        <v>45</v>
      </c>
      <c r="G62" t="s">
        <v>40</v>
      </c>
      <c r="H62">
        <v>4</v>
      </c>
      <c r="I62">
        <v>2146</v>
      </c>
      <c r="J62">
        <f>Table1_1[[#This Row],[Quantity]]*Table1_1[[#This Row],[Unit Price]]</f>
        <v>8584</v>
      </c>
      <c r="K62">
        <v>5</v>
      </c>
      <c r="L62">
        <f>Table1_1[[#This Row],[Total Sales]]*Table1_1[[#This Row],[Discount %]]/100</f>
        <v>429.2</v>
      </c>
      <c r="M62">
        <f>Table1_1[[#This Row],[Total Sales]]-Table1_1[[#This Row],[Discount Amt]]</f>
        <v>8154.8</v>
      </c>
      <c r="N62" t="s">
        <v>28</v>
      </c>
      <c r="O62" t="s">
        <v>33</v>
      </c>
      <c r="P62" t="s">
        <v>150</v>
      </c>
    </row>
    <row r="63" spans="1:16" x14ac:dyDescent="0.3">
      <c r="A63">
        <v>1063</v>
      </c>
      <c r="B63" s="2">
        <v>46092</v>
      </c>
      <c r="C63" t="s">
        <v>102</v>
      </c>
      <c r="D63" t="s">
        <v>145</v>
      </c>
      <c r="E63" t="s">
        <v>36</v>
      </c>
      <c r="F63" t="s">
        <v>37</v>
      </c>
      <c r="G63" t="s">
        <v>27</v>
      </c>
      <c r="H63">
        <v>4</v>
      </c>
      <c r="I63">
        <v>1168</v>
      </c>
      <c r="J63">
        <f>Table1_1[[#This Row],[Quantity]]*Table1_1[[#This Row],[Unit Price]]</f>
        <v>4672</v>
      </c>
      <c r="K63">
        <v>15</v>
      </c>
      <c r="L63">
        <f>Table1_1[[#This Row],[Total Sales]]*Table1_1[[#This Row],[Discount %]]/100</f>
        <v>700.8</v>
      </c>
      <c r="M63">
        <f>Table1_1[[#This Row],[Total Sales]]-Table1_1[[#This Row],[Discount Amt]]</f>
        <v>3971.2</v>
      </c>
      <c r="N63" t="s">
        <v>28</v>
      </c>
      <c r="O63" t="s">
        <v>29</v>
      </c>
      <c r="P63" t="s">
        <v>151</v>
      </c>
    </row>
    <row r="64" spans="1:16" x14ac:dyDescent="0.3">
      <c r="A64">
        <v>1064</v>
      </c>
      <c r="B64" s="2">
        <v>46059</v>
      </c>
      <c r="C64" t="s">
        <v>103</v>
      </c>
      <c r="D64" t="s">
        <v>145</v>
      </c>
      <c r="E64" t="s">
        <v>36</v>
      </c>
      <c r="F64" t="s">
        <v>39</v>
      </c>
      <c r="G64" t="s">
        <v>46</v>
      </c>
      <c r="H64">
        <v>6</v>
      </c>
      <c r="I64">
        <v>4798</v>
      </c>
      <c r="J64">
        <f>Table1_1[[#This Row],[Quantity]]*Table1_1[[#This Row],[Unit Price]]</f>
        <v>28788</v>
      </c>
      <c r="K64">
        <v>10</v>
      </c>
      <c r="L64">
        <f>Table1_1[[#This Row],[Total Sales]]*Table1_1[[#This Row],[Discount %]]/100</f>
        <v>2878.8</v>
      </c>
      <c r="M64">
        <f>Table1_1[[#This Row],[Total Sales]]-Table1_1[[#This Row],[Discount Amt]]</f>
        <v>25909.200000000001</v>
      </c>
      <c r="N64" t="s">
        <v>28</v>
      </c>
      <c r="O64" t="s">
        <v>33</v>
      </c>
      <c r="P64" t="s">
        <v>143</v>
      </c>
    </row>
    <row r="65" spans="1:16" x14ac:dyDescent="0.3">
      <c r="A65">
        <v>1065</v>
      </c>
      <c r="B65" s="2">
        <v>46082</v>
      </c>
      <c r="C65" t="s">
        <v>104</v>
      </c>
      <c r="D65" t="s">
        <v>149</v>
      </c>
      <c r="E65" t="s">
        <v>36</v>
      </c>
      <c r="F65" t="s">
        <v>54</v>
      </c>
      <c r="G65" t="s">
        <v>27</v>
      </c>
      <c r="H65">
        <v>3</v>
      </c>
      <c r="I65">
        <v>2000</v>
      </c>
      <c r="J65">
        <f>Table1_1[[#This Row],[Quantity]]*Table1_1[[#This Row],[Unit Price]]</f>
        <v>6000</v>
      </c>
      <c r="K65">
        <v>10</v>
      </c>
      <c r="L65">
        <f>Table1_1[[#This Row],[Total Sales]]*Table1_1[[#This Row],[Discount %]]/100</f>
        <v>600</v>
      </c>
      <c r="M65">
        <f>Table1_1[[#This Row],[Total Sales]]-Table1_1[[#This Row],[Discount Amt]]</f>
        <v>5400</v>
      </c>
      <c r="N65" t="s">
        <v>28</v>
      </c>
      <c r="O65" t="s">
        <v>33</v>
      </c>
      <c r="P65" t="s">
        <v>151</v>
      </c>
    </row>
    <row r="66" spans="1:16" x14ac:dyDescent="0.3">
      <c r="A66">
        <v>1066</v>
      </c>
      <c r="B66" s="2">
        <v>46115</v>
      </c>
      <c r="C66" t="s">
        <v>105</v>
      </c>
      <c r="D66" t="s">
        <v>145</v>
      </c>
      <c r="E66" t="s">
        <v>15</v>
      </c>
      <c r="F66" t="s">
        <v>45</v>
      </c>
      <c r="G66" t="s">
        <v>40</v>
      </c>
      <c r="H66">
        <v>4</v>
      </c>
      <c r="I66">
        <v>3282</v>
      </c>
      <c r="J66">
        <f>Table1_1[[#This Row],[Quantity]]*Table1_1[[#This Row],[Unit Price]]</f>
        <v>13128</v>
      </c>
      <c r="K66">
        <v>15</v>
      </c>
      <c r="L66">
        <f>Table1_1[[#This Row],[Total Sales]]*Table1_1[[#This Row],[Discount %]]/100</f>
        <v>1969.2</v>
      </c>
      <c r="M66">
        <f>Table1_1[[#This Row],[Total Sales]]-Table1_1[[#This Row],[Discount Amt]]</f>
        <v>11158.8</v>
      </c>
      <c r="N66" t="s">
        <v>28</v>
      </c>
      <c r="O66" t="s">
        <v>29</v>
      </c>
      <c r="P66" t="s">
        <v>150</v>
      </c>
    </row>
    <row r="67" spans="1:16" x14ac:dyDescent="0.3">
      <c r="A67">
        <v>1067</v>
      </c>
      <c r="B67" s="2">
        <v>46067</v>
      </c>
      <c r="C67" t="s">
        <v>106</v>
      </c>
      <c r="D67" t="s">
        <v>147</v>
      </c>
      <c r="E67" t="s">
        <v>15</v>
      </c>
      <c r="F67" t="s">
        <v>45</v>
      </c>
      <c r="G67" t="s">
        <v>17</v>
      </c>
      <c r="H67">
        <v>6</v>
      </c>
      <c r="I67">
        <v>584</v>
      </c>
      <c r="J67">
        <f>Table1_1[[#This Row],[Quantity]]*Table1_1[[#This Row],[Unit Price]]</f>
        <v>3504</v>
      </c>
      <c r="K67">
        <v>15</v>
      </c>
      <c r="L67">
        <f>Table1_1[[#This Row],[Total Sales]]*Table1_1[[#This Row],[Discount %]]/100</f>
        <v>525.6</v>
      </c>
      <c r="M67">
        <f>Table1_1[[#This Row],[Total Sales]]-Table1_1[[#This Row],[Discount Amt]]</f>
        <v>2978.4</v>
      </c>
      <c r="N67" t="s">
        <v>141</v>
      </c>
      <c r="O67" t="s">
        <v>33</v>
      </c>
      <c r="P67" t="s">
        <v>148</v>
      </c>
    </row>
    <row r="68" spans="1:16" x14ac:dyDescent="0.3">
      <c r="A68">
        <v>1068</v>
      </c>
      <c r="B68" s="2">
        <v>46032</v>
      </c>
      <c r="C68" t="s">
        <v>107</v>
      </c>
      <c r="D68" t="s">
        <v>147</v>
      </c>
      <c r="E68" t="s">
        <v>25</v>
      </c>
      <c r="F68" t="s">
        <v>26</v>
      </c>
      <c r="G68" t="s">
        <v>17</v>
      </c>
      <c r="H68">
        <v>2</v>
      </c>
      <c r="I68">
        <v>1798</v>
      </c>
      <c r="J68">
        <f>Table1_1[[#This Row],[Quantity]]*Table1_1[[#This Row],[Unit Price]]</f>
        <v>3596</v>
      </c>
      <c r="K68">
        <v>10</v>
      </c>
      <c r="L68">
        <f>Table1_1[[#This Row],[Total Sales]]*Table1_1[[#This Row],[Discount %]]/100</f>
        <v>359.6</v>
      </c>
      <c r="M68">
        <f>Table1_1[[#This Row],[Total Sales]]-Table1_1[[#This Row],[Discount Amt]]</f>
        <v>3236.4</v>
      </c>
      <c r="N68" t="s">
        <v>144</v>
      </c>
      <c r="O68" t="s">
        <v>29</v>
      </c>
      <c r="P68" t="s">
        <v>151</v>
      </c>
    </row>
    <row r="69" spans="1:16" x14ac:dyDescent="0.3">
      <c r="A69">
        <v>1069</v>
      </c>
      <c r="B69" s="2">
        <v>46061</v>
      </c>
      <c r="C69" t="s">
        <v>108</v>
      </c>
      <c r="D69" t="s">
        <v>14</v>
      </c>
      <c r="E69" t="s">
        <v>15</v>
      </c>
      <c r="F69" t="s">
        <v>16</v>
      </c>
      <c r="G69" t="s">
        <v>17</v>
      </c>
      <c r="H69">
        <v>6</v>
      </c>
      <c r="I69">
        <v>3099</v>
      </c>
      <c r="J69">
        <f>Table1_1[[#This Row],[Quantity]]*Table1_1[[#This Row],[Unit Price]]</f>
        <v>18594</v>
      </c>
      <c r="K69">
        <v>5</v>
      </c>
      <c r="L69">
        <f>Table1_1[[#This Row],[Total Sales]]*Table1_1[[#This Row],[Discount %]]/100</f>
        <v>929.7</v>
      </c>
      <c r="M69">
        <f>Table1_1[[#This Row],[Total Sales]]-Table1_1[[#This Row],[Discount Amt]]</f>
        <v>17664.3</v>
      </c>
      <c r="N69" t="s">
        <v>28</v>
      </c>
      <c r="O69" t="s">
        <v>33</v>
      </c>
      <c r="P69" t="s">
        <v>143</v>
      </c>
    </row>
    <row r="70" spans="1:16" x14ac:dyDescent="0.3">
      <c r="A70">
        <v>1070</v>
      </c>
      <c r="B70" s="2">
        <v>46161</v>
      </c>
      <c r="C70" t="s">
        <v>109</v>
      </c>
      <c r="D70" t="s">
        <v>145</v>
      </c>
      <c r="E70" t="s">
        <v>15</v>
      </c>
      <c r="F70" t="s">
        <v>45</v>
      </c>
      <c r="G70" t="s">
        <v>46</v>
      </c>
      <c r="H70">
        <v>3</v>
      </c>
      <c r="I70">
        <v>1879</v>
      </c>
      <c r="J70">
        <f>Table1_1[[#This Row],[Quantity]]*Table1_1[[#This Row],[Unit Price]]</f>
        <v>5637</v>
      </c>
      <c r="K70">
        <v>10</v>
      </c>
      <c r="L70">
        <f>Table1_1[[#This Row],[Total Sales]]*Table1_1[[#This Row],[Discount %]]/100</f>
        <v>563.70000000000005</v>
      </c>
      <c r="M70">
        <f>Table1_1[[#This Row],[Total Sales]]-Table1_1[[#This Row],[Discount Amt]]</f>
        <v>5073.3</v>
      </c>
      <c r="N70" t="s">
        <v>28</v>
      </c>
      <c r="O70" t="s">
        <v>29</v>
      </c>
      <c r="P70" t="s">
        <v>143</v>
      </c>
    </row>
    <row r="71" spans="1:16" x14ac:dyDescent="0.3">
      <c r="A71">
        <v>1071</v>
      </c>
      <c r="B71" s="2">
        <v>46029</v>
      </c>
      <c r="C71" t="s">
        <v>110</v>
      </c>
      <c r="D71" t="s">
        <v>14</v>
      </c>
      <c r="E71" t="s">
        <v>15</v>
      </c>
      <c r="F71" t="s">
        <v>16</v>
      </c>
      <c r="G71" t="s">
        <v>40</v>
      </c>
      <c r="H71">
        <v>9</v>
      </c>
      <c r="I71">
        <v>930</v>
      </c>
      <c r="J71">
        <f>Table1_1[[#This Row],[Quantity]]*Table1_1[[#This Row],[Unit Price]]</f>
        <v>8370</v>
      </c>
      <c r="K71">
        <v>0</v>
      </c>
      <c r="L71">
        <f>Table1_1[[#This Row],[Total Sales]]*Table1_1[[#This Row],[Discount %]]/100</f>
        <v>0</v>
      </c>
      <c r="M71">
        <f>Table1_1[[#This Row],[Total Sales]]-Table1_1[[#This Row],[Discount Amt]]</f>
        <v>8370</v>
      </c>
      <c r="N71" t="s">
        <v>28</v>
      </c>
      <c r="O71" t="s">
        <v>29</v>
      </c>
      <c r="P71" t="s">
        <v>143</v>
      </c>
    </row>
    <row r="72" spans="1:16" x14ac:dyDescent="0.3">
      <c r="A72">
        <v>1072</v>
      </c>
      <c r="B72" s="2">
        <v>46181</v>
      </c>
      <c r="C72" t="s">
        <v>111</v>
      </c>
      <c r="D72" t="s">
        <v>149</v>
      </c>
      <c r="E72" t="s">
        <v>25</v>
      </c>
      <c r="F72" t="s">
        <v>32</v>
      </c>
      <c r="G72" t="s">
        <v>17</v>
      </c>
      <c r="H72">
        <v>6</v>
      </c>
      <c r="I72">
        <v>4713</v>
      </c>
      <c r="J72">
        <f>Table1_1[[#This Row],[Quantity]]*Table1_1[[#This Row],[Unit Price]]</f>
        <v>28278</v>
      </c>
      <c r="K72">
        <v>0</v>
      </c>
      <c r="L72">
        <f>Table1_1[[#This Row],[Total Sales]]*Table1_1[[#This Row],[Discount %]]/100</f>
        <v>0</v>
      </c>
      <c r="M72">
        <f>Table1_1[[#This Row],[Total Sales]]-Table1_1[[#This Row],[Discount Amt]]</f>
        <v>28278</v>
      </c>
      <c r="N72" t="s">
        <v>28</v>
      </c>
      <c r="O72" t="s">
        <v>33</v>
      </c>
      <c r="P72" t="s">
        <v>143</v>
      </c>
    </row>
    <row r="73" spans="1:16" x14ac:dyDescent="0.3">
      <c r="A73">
        <v>1073</v>
      </c>
      <c r="B73" s="2">
        <v>46186</v>
      </c>
      <c r="C73" t="s">
        <v>112</v>
      </c>
      <c r="D73" t="s">
        <v>145</v>
      </c>
      <c r="E73" t="s">
        <v>25</v>
      </c>
      <c r="F73" t="s">
        <v>26</v>
      </c>
      <c r="G73" t="s">
        <v>17</v>
      </c>
      <c r="H73">
        <v>2</v>
      </c>
      <c r="I73">
        <v>3055</v>
      </c>
      <c r="J73">
        <f>Table1_1[[#This Row],[Quantity]]*Table1_1[[#This Row],[Unit Price]]</f>
        <v>6110</v>
      </c>
      <c r="K73">
        <v>5</v>
      </c>
      <c r="L73">
        <f>Table1_1[[#This Row],[Total Sales]]*Table1_1[[#This Row],[Discount %]]/100</f>
        <v>305.5</v>
      </c>
      <c r="M73">
        <f>Table1_1[[#This Row],[Total Sales]]-Table1_1[[#This Row],[Discount Amt]]</f>
        <v>5804.5</v>
      </c>
      <c r="N73" t="s">
        <v>144</v>
      </c>
      <c r="O73" t="s">
        <v>29</v>
      </c>
      <c r="P73" t="s">
        <v>148</v>
      </c>
    </row>
    <row r="74" spans="1:16" x14ac:dyDescent="0.3">
      <c r="A74">
        <v>1074</v>
      </c>
      <c r="B74" s="2">
        <v>46180</v>
      </c>
      <c r="C74" t="s">
        <v>113</v>
      </c>
      <c r="D74" t="s">
        <v>147</v>
      </c>
      <c r="E74" t="s">
        <v>15</v>
      </c>
      <c r="F74" t="s">
        <v>16</v>
      </c>
      <c r="G74" t="s">
        <v>46</v>
      </c>
      <c r="H74">
        <v>5</v>
      </c>
      <c r="I74">
        <v>993</v>
      </c>
      <c r="J74">
        <f>Table1_1[[#This Row],[Quantity]]*Table1_1[[#This Row],[Unit Price]]</f>
        <v>4965</v>
      </c>
      <c r="K74">
        <v>5</v>
      </c>
      <c r="L74">
        <f>Table1_1[[#This Row],[Total Sales]]*Table1_1[[#This Row],[Discount %]]/100</f>
        <v>248.25</v>
      </c>
      <c r="M74">
        <f>Table1_1[[#This Row],[Total Sales]]-Table1_1[[#This Row],[Discount Amt]]</f>
        <v>4716.75</v>
      </c>
      <c r="N74" t="s">
        <v>141</v>
      </c>
      <c r="O74" t="s">
        <v>33</v>
      </c>
      <c r="P74" t="s">
        <v>150</v>
      </c>
    </row>
    <row r="75" spans="1:16" x14ac:dyDescent="0.3">
      <c r="A75">
        <v>1075</v>
      </c>
      <c r="B75" s="2">
        <v>46110</v>
      </c>
      <c r="C75" t="s">
        <v>114</v>
      </c>
      <c r="D75" t="s">
        <v>14</v>
      </c>
      <c r="E75" t="s">
        <v>25</v>
      </c>
      <c r="F75" t="s">
        <v>26</v>
      </c>
      <c r="G75" t="s">
        <v>17</v>
      </c>
      <c r="H75">
        <v>2</v>
      </c>
      <c r="I75">
        <v>4128</v>
      </c>
      <c r="J75">
        <f>Table1_1[[#This Row],[Quantity]]*Table1_1[[#This Row],[Unit Price]]</f>
        <v>8256</v>
      </c>
      <c r="K75">
        <v>0</v>
      </c>
      <c r="L75">
        <f>Table1_1[[#This Row],[Total Sales]]*Table1_1[[#This Row],[Discount %]]/100</f>
        <v>0</v>
      </c>
      <c r="M75">
        <f>Table1_1[[#This Row],[Total Sales]]-Table1_1[[#This Row],[Discount Amt]]</f>
        <v>8256</v>
      </c>
      <c r="N75" t="s">
        <v>141</v>
      </c>
      <c r="O75" t="s">
        <v>33</v>
      </c>
      <c r="P75" t="s">
        <v>151</v>
      </c>
    </row>
    <row r="76" spans="1:16" x14ac:dyDescent="0.3">
      <c r="A76">
        <v>1076</v>
      </c>
      <c r="B76" s="2">
        <v>46193</v>
      </c>
      <c r="C76" t="s">
        <v>115</v>
      </c>
      <c r="D76" t="s">
        <v>146</v>
      </c>
      <c r="E76" t="s">
        <v>15</v>
      </c>
      <c r="F76" t="s">
        <v>16</v>
      </c>
      <c r="G76" t="s">
        <v>46</v>
      </c>
      <c r="H76">
        <v>4</v>
      </c>
      <c r="I76">
        <v>4162</v>
      </c>
      <c r="J76">
        <f>Table1_1[[#This Row],[Quantity]]*Table1_1[[#This Row],[Unit Price]]</f>
        <v>16648</v>
      </c>
      <c r="K76">
        <v>10</v>
      </c>
      <c r="L76">
        <f>Table1_1[[#This Row],[Total Sales]]*Table1_1[[#This Row],[Discount %]]/100</f>
        <v>1664.8</v>
      </c>
      <c r="M76">
        <f>Table1_1[[#This Row],[Total Sales]]-Table1_1[[#This Row],[Discount Amt]]</f>
        <v>14983.2</v>
      </c>
      <c r="N76" t="s">
        <v>144</v>
      </c>
      <c r="O76" t="s">
        <v>142</v>
      </c>
      <c r="P76" t="s">
        <v>148</v>
      </c>
    </row>
    <row r="77" spans="1:16" x14ac:dyDescent="0.3">
      <c r="A77">
        <v>1077</v>
      </c>
      <c r="B77" s="2">
        <v>46095</v>
      </c>
      <c r="C77" t="s">
        <v>116</v>
      </c>
      <c r="D77" t="s">
        <v>145</v>
      </c>
      <c r="E77" t="s">
        <v>15</v>
      </c>
      <c r="F77" t="s">
        <v>45</v>
      </c>
      <c r="G77" t="s">
        <v>27</v>
      </c>
      <c r="H77">
        <v>8</v>
      </c>
      <c r="I77">
        <v>3138</v>
      </c>
      <c r="J77">
        <f>Table1_1[[#This Row],[Quantity]]*Table1_1[[#This Row],[Unit Price]]</f>
        <v>25104</v>
      </c>
      <c r="K77">
        <v>0</v>
      </c>
      <c r="L77">
        <f>Table1_1[[#This Row],[Total Sales]]*Table1_1[[#This Row],[Discount %]]/100</f>
        <v>0</v>
      </c>
      <c r="M77">
        <f>Table1_1[[#This Row],[Total Sales]]-Table1_1[[#This Row],[Discount Amt]]</f>
        <v>25104</v>
      </c>
      <c r="N77" t="s">
        <v>144</v>
      </c>
      <c r="O77" t="s">
        <v>29</v>
      </c>
      <c r="P77" t="s">
        <v>150</v>
      </c>
    </row>
    <row r="78" spans="1:16" x14ac:dyDescent="0.3">
      <c r="A78">
        <v>1078</v>
      </c>
      <c r="B78" s="2">
        <v>46194</v>
      </c>
      <c r="C78" t="s">
        <v>117</v>
      </c>
      <c r="D78" t="s">
        <v>145</v>
      </c>
      <c r="E78" t="s">
        <v>25</v>
      </c>
      <c r="F78" t="s">
        <v>26</v>
      </c>
      <c r="G78" t="s">
        <v>27</v>
      </c>
      <c r="H78">
        <v>3</v>
      </c>
      <c r="I78">
        <v>1393</v>
      </c>
      <c r="J78">
        <f>Table1_1[[#This Row],[Quantity]]*Table1_1[[#This Row],[Unit Price]]</f>
        <v>4179</v>
      </c>
      <c r="K78">
        <v>5</v>
      </c>
      <c r="L78">
        <f>Table1_1[[#This Row],[Total Sales]]*Table1_1[[#This Row],[Discount %]]/100</f>
        <v>208.95</v>
      </c>
      <c r="M78">
        <f>Table1_1[[#This Row],[Total Sales]]-Table1_1[[#This Row],[Discount Amt]]</f>
        <v>3970.05</v>
      </c>
      <c r="N78" t="s">
        <v>28</v>
      </c>
      <c r="O78" t="s">
        <v>29</v>
      </c>
      <c r="P78" t="s">
        <v>150</v>
      </c>
    </row>
    <row r="79" spans="1:16" x14ac:dyDescent="0.3">
      <c r="A79">
        <v>1079</v>
      </c>
      <c r="B79" s="2">
        <v>46073</v>
      </c>
      <c r="C79" t="s">
        <v>118</v>
      </c>
      <c r="D79" t="s">
        <v>14</v>
      </c>
      <c r="E79" t="s">
        <v>25</v>
      </c>
      <c r="F79" t="s">
        <v>26</v>
      </c>
      <c r="G79" t="s">
        <v>46</v>
      </c>
      <c r="H79">
        <v>9</v>
      </c>
      <c r="I79">
        <v>4425</v>
      </c>
      <c r="J79">
        <f>Table1_1[[#This Row],[Quantity]]*Table1_1[[#This Row],[Unit Price]]</f>
        <v>39825</v>
      </c>
      <c r="K79">
        <v>0</v>
      </c>
      <c r="L79">
        <f>Table1_1[[#This Row],[Total Sales]]*Table1_1[[#This Row],[Discount %]]/100</f>
        <v>0</v>
      </c>
      <c r="M79">
        <f>Table1_1[[#This Row],[Total Sales]]-Table1_1[[#This Row],[Discount Amt]]</f>
        <v>39825</v>
      </c>
      <c r="N79" t="s">
        <v>28</v>
      </c>
      <c r="O79" t="s">
        <v>142</v>
      </c>
      <c r="P79" t="s">
        <v>150</v>
      </c>
    </row>
    <row r="80" spans="1:16" x14ac:dyDescent="0.3">
      <c r="A80">
        <v>1080</v>
      </c>
      <c r="B80" s="2">
        <v>46131</v>
      </c>
      <c r="C80" t="s">
        <v>119</v>
      </c>
      <c r="D80" t="s">
        <v>149</v>
      </c>
      <c r="E80" t="s">
        <v>36</v>
      </c>
      <c r="F80" t="s">
        <v>39</v>
      </c>
      <c r="G80" t="s">
        <v>17</v>
      </c>
      <c r="H80">
        <v>4</v>
      </c>
      <c r="I80">
        <v>4656</v>
      </c>
      <c r="J80">
        <f>Table1_1[[#This Row],[Quantity]]*Table1_1[[#This Row],[Unit Price]]</f>
        <v>18624</v>
      </c>
      <c r="K80">
        <v>0</v>
      </c>
      <c r="L80">
        <f>Table1_1[[#This Row],[Total Sales]]*Table1_1[[#This Row],[Discount %]]/100</f>
        <v>0</v>
      </c>
      <c r="M80">
        <f>Table1_1[[#This Row],[Total Sales]]-Table1_1[[#This Row],[Discount Amt]]</f>
        <v>18624</v>
      </c>
      <c r="N80" t="s">
        <v>144</v>
      </c>
      <c r="O80" t="s">
        <v>142</v>
      </c>
      <c r="P80" t="s">
        <v>150</v>
      </c>
    </row>
    <row r="81" spans="1:16" x14ac:dyDescent="0.3">
      <c r="A81">
        <v>1081</v>
      </c>
      <c r="B81" s="2">
        <v>46035</v>
      </c>
      <c r="C81" t="s">
        <v>120</v>
      </c>
      <c r="D81" t="s">
        <v>147</v>
      </c>
      <c r="E81" t="s">
        <v>36</v>
      </c>
      <c r="F81" t="s">
        <v>39</v>
      </c>
      <c r="G81" t="s">
        <v>17</v>
      </c>
      <c r="H81">
        <v>1</v>
      </c>
      <c r="I81">
        <v>1513</v>
      </c>
      <c r="J81">
        <f>Table1_1[[#This Row],[Quantity]]*Table1_1[[#This Row],[Unit Price]]</f>
        <v>1513</v>
      </c>
      <c r="K81">
        <v>0</v>
      </c>
      <c r="L81">
        <f>Table1_1[[#This Row],[Total Sales]]*Table1_1[[#This Row],[Discount %]]/100</f>
        <v>0</v>
      </c>
      <c r="M81">
        <f>Table1_1[[#This Row],[Total Sales]]-Table1_1[[#This Row],[Discount Amt]]</f>
        <v>1513</v>
      </c>
      <c r="N81" t="s">
        <v>144</v>
      </c>
      <c r="O81" t="s">
        <v>29</v>
      </c>
      <c r="P81" t="s">
        <v>143</v>
      </c>
    </row>
    <row r="82" spans="1:16" x14ac:dyDescent="0.3">
      <c r="A82">
        <v>1082</v>
      </c>
      <c r="B82" s="2">
        <v>46111</v>
      </c>
      <c r="C82" t="s">
        <v>121</v>
      </c>
      <c r="D82" t="s">
        <v>146</v>
      </c>
      <c r="E82" t="s">
        <v>25</v>
      </c>
      <c r="F82" t="s">
        <v>26</v>
      </c>
      <c r="G82" t="s">
        <v>17</v>
      </c>
      <c r="H82">
        <v>10</v>
      </c>
      <c r="I82">
        <v>2508</v>
      </c>
      <c r="J82">
        <f>Table1_1[[#This Row],[Quantity]]*Table1_1[[#This Row],[Unit Price]]</f>
        <v>25080</v>
      </c>
      <c r="K82">
        <v>15</v>
      </c>
      <c r="L82">
        <f>Table1_1[[#This Row],[Total Sales]]*Table1_1[[#This Row],[Discount %]]/100</f>
        <v>3762</v>
      </c>
      <c r="M82">
        <f>Table1_1[[#This Row],[Total Sales]]-Table1_1[[#This Row],[Discount Amt]]</f>
        <v>21318</v>
      </c>
      <c r="N82" t="s">
        <v>28</v>
      </c>
      <c r="O82" t="s">
        <v>142</v>
      </c>
      <c r="P82" t="s">
        <v>150</v>
      </c>
    </row>
    <row r="83" spans="1:16" x14ac:dyDescent="0.3">
      <c r="A83">
        <v>1083</v>
      </c>
      <c r="B83" s="2">
        <v>46085</v>
      </c>
      <c r="C83" t="s">
        <v>122</v>
      </c>
      <c r="D83" t="s">
        <v>145</v>
      </c>
      <c r="E83" t="s">
        <v>36</v>
      </c>
      <c r="F83" t="s">
        <v>37</v>
      </c>
      <c r="G83" t="s">
        <v>40</v>
      </c>
      <c r="H83">
        <v>2</v>
      </c>
      <c r="I83">
        <v>2555</v>
      </c>
      <c r="J83">
        <f>Table1_1[[#This Row],[Quantity]]*Table1_1[[#This Row],[Unit Price]]</f>
        <v>5110</v>
      </c>
      <c r="K83">
        <v>0</v>
      </c>
      <c r="L83">
        <f>Table1_1[[#This Row],[Total Sales]]*Table1_1[[#This Row],[Discount %]]/100</f>
        <v>0</v>
      </c>
      <c r="M83">
        <f>Table1_1[[#This Row],[Total Sales]]-Table1_1[[#This Row],[Discount Amt]]</f>
        <v>5110</v>
      </c>
      <c r="N83" t="s">
        <v>144</v>
      </c>
      <c r="O83" t="s">
        <v>142</v>
      </c>
      <c r="P83" t="s">
        <v>151</v>
      </c>
    </row>
    <row r="84" spans="1:16" x14ac:dyDescent="0.3">
      <c r="A84">
        <v>1084</v>
      </c>
      <c r="B84" s="2">
        <v>46078</v>
      </c>
      <c r="C84" t="s">
        <v>123</v>
      </c>
      <c r="D84" t="s">
        <v>149</v>
      </c>
      <c r="E84" t="s">
        <v>36</v>
      </c>
      <c r="F84" t="s">
        <v>37</v>
      </c>
      <c r="G84" t="s">
        <v>27</v>
      </c>
      <c r="H84">
        <v>6</v>
      </c>
      <c r="I84">
        <v>3179</v>
      </c>
      <c r="J84">
        <f>Table1_1[[#This Row],[Quantity]]*Table1_1[[#This Row],[Unit Price]]</f>
        <v>19074</v>
      </c>
      <c r="K84">
        <v>5</v>
      </c>
      <c r="L84">
        <f>Table1_1[[#This Row],[Total Sales]]*Table1_1[[#This Row],[Discount %]]/100</f>
        <v>953.7</v>
      </c>
      <c r="M84">
        <f>Table1_1[[#This Row],[Total Sales]]-Table1_1[[#This Row],[Discount Amt]]</f>
        <v>18120.3</v>
      </c>
      <c r="N84" t="s">
        <v>144</v>
      </c>
      <c r="O84" t="s">
        <v>29</v>
      </c>
      <c r="P84" t="s">
        <v>150</v>
      </c>
    </row>
    <row r="85" spans="1:16" x14ac:dyDescent="0.3">
      <c r="A85">
        <v>1085</v>
      </c>
      <c r="B85" s="2">
        <v>46082</v>
      </c>
      <c r="C85" t="s">
        <v>124</v>
      </c>
      <c r="D85" t="s">
        <v>147</v>
      </c>
      <c r="E85" t="s">
        <v>15</v>
      </c>
      <c r="F85" t="s">
        <v>45</v>
      </c>
      <c r="G85" t="s">
        <v>27</v>
      </c>
      <c r="H85">
        <v>3</v>
      </c>
      <c r="I85">
        <v>2462</v>
      </c>
      <c r="J85">
        <f>Table1_1[[#This Row],[Quantity]]*Table1_1[[#This Row],[Unit Price]]</f>
        <v>7386</v>
      </c>
      <c r="K85">
        <v>5</v>
      </c>
      <c r="L85">
        <f>Table1_1[[#This Row],[Total Sales]]*Table1_1[[#This Row],[Discount %]]/100</f>
        <v>369.3</v>
      </c>
      <c r="M85">
        <f>Table1_1[[#This Row],[Total Sales]]-Table1_1[[#This Row],[Discount Amt]]</f>
        <v>7016.7</v>
      </c>
      <c r="N85" t="s">
        <v>144</v>
      </c>
      <c r="O85" t="s">
        <v>33</v>
      </c>
      <c r="P85" t="s">
        <v>148</v>
      </c>
    </row>
    <row r="86" spans="1:16" x14ac:dyDescent="0.3">
      <c r="A86">
        <v>1086</v>
      </c>
      <c r="B86" s="2">
        <v>46120</v>
      </c>
      <c r="C86" t="s">
        <v>125</v>
      </c>
      <c r="D86" t="s">
        <v>145</v>
      </c>
      <c r="E86" t="s">
        <v>36</v>
      </c>
      <c r="F86" t="s">
        <v>37</v>
      </c>
      <c r="G86" t="s">
        <v>40</v>
      </c>
      <c r="H86">
        <v>2</v>
      </c>
      <c r="I86">
        <v>4560</v>
      </c>
      <c r="J86">
        <f>Table1_1[[#This Row],[Quantity]]*Table1_1[[#This Row],[Unit Price]]</f>
        <v>9120</v>
      </c>
      <c r="K86">
        <v>0</v>
      </c>
      <c r="L86">
        <f>Table1_1[[#This Row],[Total Sales]]*Table1_1[[#This Row],[Discount %]]/100</f>
        <v>0</v>
      </c>
      <c r="M86">
        <f>Table1_1[[#This Row],[Total Sales]]-Table1_1[[#This Row],[Discount Amt]]</f>
        <v>9120</v>
      </c>
      <c r="N86" t="s">
        <v>28</v>
      </c>
      <c r="O86" t="s">
        <v>29</v>
      </c>
      <c r="P86" t="s">
        <v>150</v>
      </c>
    </row>
    <row r="87" spans="1:16" x14ac:dyDescent="0.3">
      <c r="A87">
        <v>1087</v>
      </c>
      <c r="B87" s="2">
        <v>46028</v>
      </c>
      <c r="C87" t="s">
        <v>126</v>
      </c>
      <c r="D87" t="s">
        <v>14</v>
      </c>
      <c r="E87" t="s">
        <v>36</v>
      </c>
      <c r="F87" t="s">
        <v>54</v>
      </c>
      <c r="G87" t="s">
        <v>46</v>
      </c>
      <c r="H87">
        <v>6</v>
      </c>
      <c r="I87">
        <v>3102</v>
      </c>
      <c r="J87">
        <f>Table1_1[[#This Row],[Quantity]]*Table1_1[[#This Row],[Unit Price]]</f>
        <v>18612</v>
      </c>
      <c r="K87">
        <v>5</v>
      </c>
      <c r="L87">
        <f>Table1_1[[#This Row],[Total Sales]]*Table1_1[[#This Row],[Discount %]]/100</f>
        <v>930.6</v>
      </c>
      <c r="M87">
        <f>Table1_1[[#This Row],[Total Sales]]-Table1_1[[#This Row],[Discount Amt]]</f>
        <v>17681.400000000001</v>
      </c>
      <c r="N87" t="s">
        <v>144</v>
      </c>
      <c r="O87" t="s">
        <v>29</v>
      </c>
      <c r="P87" t="s">
        <v>150</v>
      </c>
    </row>
    <row r="88" spans="1:16" x14ac:dyDescent="0.3">
      <c r="A88">
        <v>1088</v>
      </c>
      <c r="B88" s="2">
        <v>46094</v>
      </c>
      <c r="C88" t="s">
        <v>127</v>
      </c>
      <c r="D88" t="s">
        <v>147</v>
      </c>
      <c r="E88" t="s">
        <v>25</v>
      </c>
      <c r="F88" t="s">
        <v>32</v>
      </c>
      <c r="G88" t="s">
        <v>46</v>
      </c>
      <c r="H88">
        <v>2</v>
      </c>
      <c r="I88">
        <v>3298</v>
      </c>
      <c r="J88">
        <f>Table1_1[[#This Row],[Quantity]]*Table1_1[[#This Row],[Unit Price]]</f>
        <v>6596</v>
      </c>
      <c r="K88">
        <v>0</v>
      </c>
      <c r="L88">
        <f>Table1_1[[#This Row],[Total Sales]]*Table1_1[[#This Row],[Discount %]]/100</f>
        <v>0</v>
      </c>
      <c r="M88">
        <f>Table1_1[[#This Row],[Total Sales]]-Table1_1[[#This Row],[Discount Amt]]</f>
        <v>6596</v>
      </c>
      <c r="N88" t="s">
        <v>28</v>
      </c>
      <c r="O88" t="s">
        <v>29</v>
      </c>
      <c r="P88" t="s">
        <v>151</v>
      </c>
    </row>
    <row r="89" spans="1:16" x14ac:dyDescent="0.3">
      <c r="A89">
        <v>1089</v>
      </c>
      <c r="B89" s="2">
        <v>46049</v>
      </c>
      <c r="C89" t="s">
        <v>128</v>
      </c>
      <c r="D89" t="s">
        <v>147</v>
      </c>
      <c r="E89" t="s">
        <v>15</v>
      </c>
      <c r="F89" t="s">
        <v>16</v>
      </c>
      <c r="G89" t="s">
        <v>46</v>
      </c>
      <c r="H89">
        <v>6</v>
      </c>
      <c r="I89">
        <v>2909</v>
      </c>
      <c r="J89">
        <f>Table1_1[[#This Row],[Quantity]]*Table1_1[[#This Row],[Unit Price]]</f>
        <v>17454</v>
      </c>
      <c r="K89">
        <v>15</v>
      </c>
      <c r="L89">
        <f>Table1_1[[#This Row],[Total Sales]]*Table1_1[[#This Row],[Discount %]]/100</f>
        <v>2618.1</v>
      </c>
      <c r="M89">
        <f>Table1_1[[#This Row],[Total Sales]]-Table1_1[[#This Row],[Discount Amt]]</f>
        <v>14835.9</v>
      </c>
      <c r="N89" t="s">
        <v>28</v>
      </c>
      <c r="O89" t="s">
        <v>142</v>
      </c>
      <c r="P89" t="s">
        <v>143</v>
      </c>
    </row>
    <row r="90" spans="1:16" x14ac:dyDescent="0.3">
      <c r="A90">
        <v>1090</v>
      </c>
      <c r="B90" s="2">
        <v>46088</v>
      </c>
      <c r="C90" t="s">
        <v>129</v>
      </c>
      <c r="D90" t="s">
        <v>146</v>
      </c>
      <c r="E90" t="s">
        <v>36</v>
      </c>
      <c r="F90" t="s">
        <v>54</v>
      </c>
      <c r="G90" t="s">
        <v>27</v>
      </c>
      <c r="H90">
        <v>1</v>
      </c>
      <c r="I90">
        <v>1957</v>
      </c>
      <c r="J90">
        <f>Table1_1[[#This Row],[Quantity]]*Table1_1[[#This Row],[Unit Price]]</f>
        <v>1957</v>
      </c>
      <c r="K90">
        <v>10</v>
      </c>
      <c r="L90">
        <f>Table1_1[[#This Row],[Total Sales]]*Table1_1[[#This Row],[Discount %]]/100</f>
        <v>195.7</v>
      </c>
      <c r="M90">
        <f>Table1_1[[#This Row],[Total Sales]]-Table1_1[[#This Row],[Discount Amt]]</f>
        <v>1761.3</v>
      </c>
      <c r="N90" t="s">
        <v>144</v>
      </c>
      <c r="O90" t="s">
        <v>142</v>
      </c>
      <c r="P90" t="s">
        <v>148</v>
      </c>
    </row>
    <row r="91" spans="1:16" x14ac:dyDescent="0.3">
      <c r="A91">
        <v>1091</v>
      </c>
      <c r="B91" s="2">
        <v>46025</v>
      </c>
      <c r="C91" t="s">
        <v>130</v>
      </c>
      <c r="D91" t="s">
        <v>14</v>
      </c>
      <c r="E91" t="s">
        <v>15</v>
      </c>
      <c r="F91" t="s">
        <v>16</v>
      </c>
      <c r="G91" t="s">
        <v>17</v>
      </c>
      <c r="H91">
        <v>2</v>
      </c>
      <c r="I91">
        <v>1703</v>
      </c>
      <c r="J91">
        <f>Table1_1[[#This Row],[Quantity]]*Table1_1[[#This Row],[Unit Price]]</f>
        <v>3406</v>
      </c>
      <c r="K91">
        <v>10</v>
      </c>
      <c r="L91">
        <f>Table1_1[[#This Row],[Total Sales]]*Table1_1[[#This Row],[Discount %]]/100</f>
        <v>340.6</v>
      </c>
      <c r="M91">
        <f>Table1_1[[#This Row],[Total Sales]]-Table1_1[[#This Row],[Discount Amt]]</f>
        <v>3065.4</v>
      </c>
      <c r="N91" t="s">
        <v>144</v>
      </c>
      <c r="O91" t="s">
        <v>142</v>
      </c>
      <c r="P91" t="s">
        <v>151</v>
      </c>
    </row>
    <row r="92" spans="1:16" x14ac:dyDescent="0.3">
      <c r="A92">
        <v>1092</v>
      </c>
      <c r="B92" s="2">
        <v>46142</v>
      </c>
      <c r="C92" t="s">
        <v>131</v>
      </c>
      <c r="D92" t="s">
        <v>14</v>
      </c>
      <c r="E92" t="s">
        <v>15</v>
      </c>
      <c r="F92" t="s">
        <v>16</v>
      </c>
      <c r="G92" t="s">
        <v>46</v>
      </c>
      <c r="H92">
        <v>7</v>
      </c>
      <c r="I92">
        <v>1418</v>
      </c>
      <c r="J92">
        <f>Table1_1[[#This Row],[Quantity]]*Table1_1[[#This Row],[Unit Price]]</f>
        <v>9926</v>
      </c>
      <c r="K92">
        <v>5</v>
      </c>
      <c r="L92">
        <f>Table1_1[[#This Row],[Total Sales]]*Table1_1[[#This Row],[Discount %]]/100</f>
        <v>496.3</v>
      </c>
      <c r="M92">
        <f>Table1_1[[#This Row],[Total Sales]]-Table1_1[[#This Row],[Discount Amt]]</f>
        <v>9429.7000000000007</v>
      </c>
      <c r="N92" t="s">
        <v>144</v>
      </c>
      <c r="O92" t="s">
        <v>33</v>
      </c>
      <c r="P92" t="s">
        <v>151</v>
      </c>
    </row>
    <row r="93" spans="1:16" x14ac:dyDescent="0.3">
      <c r="A93">
        <v>1093</v>
      </c>
      <c r="B93" s="2">
        <v>46122</v>
      </c>
      <c r="C93" t="s">
        <v>132</v>
      </c>
      <c r="D93" t="s">
        <v>147</v>
      </c>
      <c r="E93" t="s">
        <v>15</v>
      </c>
      <c r="F93" t="s">
        <v>45</v>
      </c>
      <c r="G93" t="s">
        <v>17</v>
      </c>
      <c r="H93">
        <v>5</v>
      </c>
      <c r="I93">
        <v>4271</v>
      </c>
      <c r="J93">
        <f>Table1_1[[#This Row],[Quantity]]*Table1_1[[#This Row],[Unit Price]]</f>
        <v>21355</v>
      </c>
      <c r="K93">
        <v>0</v>
      </c>
      <c r="L93">
        <f>Table1_1[[#This Row],[Total Sales]]*Table1_1[[#This Row],[Discount %]]/100</f>
        <v>0</v>
      </c>
      <c r="M93">
        <f>Table1_1[[#This Row],[Total Sales]]-Table1_1[[#This Row],[Discount Amt]]</f>
        <v>21355</v>
      </c>
      <c r="N93" t="s">
        <v>144</v>
      </c>
      <c r="O93" t="s">
        <v>29</v>
      </c>
      <c r="P93" t="s">
        <v>148</v>
      </c>
    </row>
    <row r="94" spans="1:16" x14ac:dyDescent="0.3">
      <c r="A94">
        <v>1094</v>
      </c>
      <c r="B94" s="2">
        <v>46148</v>
      </c>
      <c r="C94" t="s">
        <v>133</v>
      </c>
      <c r="D94" t="s">
        <v>147</v>
      </c>
      <c r="E94" t="s">
        <v>36</v>
      </c>
      <c r="F94" t="s">
        <v>37</v>
      </c>
      <c r="G94" t="s">
        <v>17</v>
      </c>
      <c r="H94">
        <v>1</v>
      </c>
      <c r="I94">
        <v>666</v>
      </c>
      <c r="J94">
        <f>Table1_1[[#This Row],[Quantity]]*Table1_1[[#This Row],[Unit Price]]</f>
        <v>666</v>
      </c>
      <c r="K94">
        <v>15</v>
      </c>
      <c r="L94">
        <f>Table1_1[[#This Row],[Total Sales]]*Table1_1[[#This Row],[Discount %]]/100</f>
        <v>99.9</v>
      </c>
      <c r="M94">
        <f>Table1_1[[#This Row],[Total Sales]]-Table1_1[[#This Row],[Discount Amt]]</f>
        <v>566.1</v>
      </c>
      <c r="N94" t="s">
        <v>144</v>
      </c>
      <c r="O94" t="s">
        <v>29</v>
      </c>
      <c r="P94" t="s">
        <v>143</v>
      </c>
    </row>
    <row r="95" spans="1:16" x14ac:dyDescent="0.3">
      <c r="A95">
        <v>1095</v>
      </c>
      <c r="B95" s="2">
        <v>46124</v>
      </c>
      <c r="C95" t="s">
        <v>134</v>
      </c>
      <c r="D95" t="s">
        <v>14</v>
      </c>
      <c r="E95" t="s">
        <v>25</v>
      </c>
      <c r="F95" t="s">
        <v>26</v>
      </c>
      <c r="G95" t="s">
        <v>46</v>
      </c>
      <c r="H95">
        <v>6</v>
      </c>
      <c r="I95">
        <v>2059</v>
      </c>
      <c r="J95">
        <f>Table1_1[[#This Row],[Quantity]]*Table1_1[[#This Row],[Unit Price]]</f>
        <v>12354</v>
      </c>
      <c r="K95">
        <v>5</v>
      </c>
      <c r="L95">
        <f>Table1_1[[#This Row],[Total Sales]]*Table1_1[[#This Row],[Discount %]]/100</f>
        <v>617.70000000000005</v>
      </c>
      <c r="M95">
        <f>Table1_1[[#This Row],[Total Sales]]-Table1_1[[#This Row],[Discount Amt]]</f>
        <v>11736.3</v>
      </c>
      <c r="N95" t="s">
        <v>28</v>
      </c>
      <c r="O95" t="s">
        <v>29</v>
      </c>
      <c r="P95" t="s">
        <v>143</v>
      </c>
    </row>
    <row r="96" spans="1:16" x14ac:dyDescent="0.3">
      <c r="A96">
        <v>1096</v>
      </c>
      <c r="B96" s="2">
        <v>46138</v>
      </c>
      <c r="C96" t="s">
        <v>135</v>
      </c>
      <c r="D96" t="s">
        <v>149</v>
      </c>
      <c r="E96" t="s">
        <v>15</v>
      </c>
      <c r="F96" t="s">
        <v>16</v>
      </c>
      <c r="G96" t="s">
        <v>17</v>
      </c>
      <c r="H96">
        <v>4</v>
      </c>
      <c r="I96">
        <v>1564</v>
      </c>
      <c r="J96">
        <f>Table1_1[[#This Row],[Quantity]]*Table1_1[[#This Row],[Unit Price]]</f>
        <v>6256</v>
      </c>
      <c r="K96">
        <v>0</v>
      </c>
      <c r="L96">
        <f>Table1_1[[#This Row],[Total Sales]]*Table1_1[[#This Row],[Discount %]]/100</f>
        <v>0</v>
      </c>
      <c r="M96">
        <f>Table1_1[[#This Row],[Total Sales]]-Table1_1[[#This Row],[Discount Amt]]</f>
        <v>6256</v>
      </c>
      <c r="N96" t="s">
        <v>28</v>
      </c>
      <c r="O96" t="s">
        <v>33</v>
      </c>
      <c r="P96" t="s">
        <v>148</v>
      </c>
    </row>
    <row r="97" spans="1:16" x14ac:dyDescent="0.3">
      <c r="A97">
        <v>1097</v>
      </c>
      <c r="B97" s="2">
        <v>46166</v>
      </c>
      <c r="C97" t="s">
        <v>136</v>
      </c>
      <c r="D97" t="s">
        <v>14</v>
      </c>
      <c r="E97" t="s">
        <v>15</v>
      </c>
      <c r="F97" t="s">
        <v>16</v>
      </c>
      <c r="G97" t="s">
        <v>40</v>
      </c>
      <c r="H97">
        <v>10</v>
      </c>
      <c r="I97">
        <v>1447</v>
      </c>
      <c r="J97">
        <f>Table1_1[[#This Row],[Quantity]]*Table1_1[[#This Row],[Unit Price]]</f>
        <v>14470</v>
      </c>
      <c r="K97">
        <v>5</v>
      </c>
      <c r="L97">
        <f>Table1_1[[#This Row],[Total Sales]]*Table1_1[[#This Row],[Discount %]]/100</f>
        <v>723.5</v>
      </c>
      <c r="M97">
        <f>Table1_1[[#This Row],[Total Sales]]-Table1_1[[#This Row],[Discount Amt]]</f>
        <v>13746.5</v>
      </c>
      <c r="N97" t="s">
        <v>28</v>
      </c>
      <c r="O97" t="s">
        <v>33</v>
      </c>
      <c r="P97" t="s">
        <v>143</v>
      </c>
    </row>
    <row r="98" spans="1:16" x14ac:dyDescent="0.3">
      <c r="A98">
        <v>1098</v>
      </c>
      <c r="B98" s="2">
        <v>46094</v>
      </c>
      <c r="C98" t="s">
        <v>137</v>
      </c>
      <c r="D98" t="s">
        <v>146</v>
      </c>
      <c r="E98" t="s">
        <v>15</v>
      </c>
      <c r="F98" t="s">
        <v>45</v>
      </c>
      <c r="G98" t="s">
        <v>40</v>
      </c>
      <c r="H98">
        <v>7</v>
      </c>
      <c r="I98">
        <v>3739</v>
      </c>
      <c r="J98">
        <f>Table1_1[[#This Row],[Quantity]]*Table1_1[[#This Row],[Unit Price]]</f>
        <v>26173</v>
      </c>
      <c r="K98">
        <v>0</v>
      </c>
      <c r="L98">
        <f>Table1_1[[#This Row],[Total Sales]]*Table1_1[[#This Row],[Discount %]]/100</f>
        <v>0</v>
      </c>
      <c r="M98">
        <f>Table1_1[[#This Row],[Total Sales]]-Table1_1[[#This Row],[Discount Amt]]</f>
        <v>26173</v>
      </c>
      <c r="N98" t="s">
        <v>144</v>
      </c>
      <c r="O98" t="s">
        <v>29</v>
      </c>
      <c r="P98" t="s">
        <v>143</v>
      </c>
    </row>
    <row r="99" spans="1:16" x14ac:dyDescent="0.3">
      <c r="A99">
        <v>1099</v>
      </c>
      <c r="B99" s="2">
        <v>46072</v>
      </c>
      <c r="C99" t="s">
        <v>138</v>
      </c>
      <c r="D99" t="s">
        <v>146</v>
      </c>
      <c r="E99" t="s">
        <v>25</v>
      </c>
      <c r="F99" t="s">
        <v>26</v>
      </c>
      <c r="G99" t="s">
        <v>46</v>
      </c>
      <c r="H99">
        <v>1</v>
      </c>
      <c r="I99">
        <v>4096</v>
      </c>
      <c r="J99">
        <f>Table1_1[[#This Row],[Quantity]]*Table1_1[[#This Row],[Unit Price]]</f>
        <v>4096</v>
      </c>
      <c r="K99">
        <v>10</v>
      </c>
      <c r="L99">
        <f>Table1_1[[#This Row],[Total Sales]]*Table1_1[[#This Row],[Discount %]]/100</f>
        <v>409.6</v>
      </c>
      <c r="M99">
        <f>Table1_1[[#This Row],[Total Sales]]-Table1_1[[#This Row],[Discount Amt]]</f>
        <v>3686.4</v>
      </c>
      <c r="N99" t="s">
        <v>141</v>
      </c>
      <c r="O99" t="s">
        <v>29</v>
      </c>
      <c r="P99" t="s">
        <v>150</v>
      </c>
    </row>
    <row r="100" spans="1:16" x14ac:dyDescent="0.3">
      <c r="A100">
        <v>1100</v>
      </c>
      <c r="B100" s="2">
        <v>46059</v>
      </c>
      <c r="C100" t="s">
        <v>139</v>
      </c>
      <c r="D100" t="s">
        <v>14</v>
      </c>
      <c r="E100" t="s">
        <v>25</v>
      </c>
      <c r="F100" t="s">
        <v>26</v>
      </c>
      <c r="G100" t="s">
        <v>40</v>
      </c>
      <c r="H100">
        <v>8</v>
      </c>
      <c r="I100">
        <v>3693</v>
      </c>
      <c r="J100">
        <f>Table1_1[[#This Row],[Quantity]]*Table1_1[[#This Row],[Unit Price]]</f>
        <v>29544</v>
      </c>
      <c r="K100">
        <v>10</v>
      </c>
      <c r="L100">
        <f>Table1_1[[#This Row],[Total Sales]]*Table1_1[[#This Row],[Discount %]]/100</f>
        <v>2954.4</v>
      </c>
      <c r="M100">
        <f>Table1_1[[#This Row],[Total Sales]]-Table1_1[[#This Row],[Discount Amt]]</f>
        <v>26589.599999999999</v>
      </c>
      <c r="N100" t="s">
        <v>28</v>
      </c>
      <c r="O100" t="s">
        <v>142</v>
      </c>
      <c r="P100" t="s">
        <v>148</v>
      </c>
    </row>
    <row r="101" spans="1:16" x14ac:dyDescent="0.3">
      <c r="A101">
        <v>1101</v>
      </c>
      <c r="B101" s="2">
        <v>46151</v>
      </c>
      <c r="C101" t="s">
        <v>140</v>
      </c>
      <c r="D101" t="s">
        <v>146</v>
      </c>
      <c r="E101" t="s">
        <v>15</v>
      </c>
      <c r="F101" t="s">
        <v>16</v>
      </c>
      <c r="G101" t="s">
        <v>40</v>
      </c>
      <c r="H101">
        <v>1</v>
      </c>
      <c r="I101">
        <v>3604</v>
      </c>
      <c r="J101">
        <f>Table1_1[[#This Row],[Quantity]]*Table1_1[[#This Row],[Unit Price]]</f>
        <v>3604</v>
      </c>
      <c r="K101">
        <v>10</v>
      </c>
      <c r="L101">
        <f>Table1_1[[#This Row],[Total Sales]]*Table1_1[[#This Row],[Discount %]]/100</f>
        <v>360.4</v>
      </c>
      <c r="M101">
        <f>Table1_1[[#This Row],[Total Sales]]-Table1_1[[#This Row],[Discount Amt]]</f>
        <v>3243.6</v>
      </c>
      <c r="N101" t="s">
        <v>141</v>
      </c>
      <c r="O101" t="s">
        <v>29</v>
      </c>
      <c r="P101" t="s">
        <v>151</v>
      </c>
    </row>
  </sheetData>
  <pageMargins left="0.7" right="0.7" top="0.75" bottom="0.75" header="0.3" footer="0.3"/>
  <drawing r:id="rId4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21B9-44BF-4390-AF63-04B4B095E9B8}">
  <dimension ref="B2"/>
  <sheetViews>
    <sheetView showGridLines="0" tabSelected="1" workbookViewId="0">
      <selection activeCell="R1" sqref="R1:R1048576"/>
    </sheetView>
  </sheetViews>
  <sheetFormatPr defaultRowHeight="14.4" x14ac:dyDescent="0.3"/>
  <cols>
    <col min="24" max="24" width="2.109375" customWidth="1"/>
    <col min="25" max="25" width="5.88671875" customWidth="1"/>
  </cols>
  <sheetData>
    <row r="2" spans="2:2" x14ac:dyDescent="0.3">
      <c r="B2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sqref="A1:M101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5" max="5" width="13" customWidth="1"/>
    <col min="6" max="6" width="9.5546875" customWidth="1"/>
    <col min="7" max="7" width="12.88671875" customWidth="1"/>
    <col min="8" max="8" width="10.21875" customWidth="1"/>
    <col min="9" max="9" width="11" customWidth="1"/>
    <col min="10" max="10" width="12.109375" customWidth="1"/>
    <col min="12" max="12" width="17.6640625" customWidth="1"/>
    <col min="13" max="13" width="10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1002</v>
      </c>
      <c r="B2" s="1">
        <v>46137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>
        <v>4924</v>
      </c>
      <c r="J2">
        <v>0</v>
      </c>
      <c r="K2" t="s">
        <v>18</v>
      </c>
      <c r="L2" t="s">
        <v>19</v>
      </c>
      <c r="M2" t="s">
        <v>20</v>
      </c>
    </row>
    <row r="3" spans="1:13" x14ac:dyDescent="0.3">
      <c r="A3">
        <v>1003</v>
      </c>
      <c r="B3" s="1">
        <v>46102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>
        <v>2</v>
      </c>
      <c r="I3">
        <v>3788</v>
      </c>
      <c r="J3">
        <v>15</v>
      </c>
      <c r="K3" t="s">
        <v>22</v>
      </c>
      <c r="L3" t="s">
        <v>19</v>
      </c>
    </row>
    <row r="4" spans="1:13" x14ac:dyDescent="0.3">
      <c r="A4">
        <v>1004</v>
      </c>
      <c r="B4" s="1">
        <v>46196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9</v>
      </c>
      <c r="I4">
        <v>636</v>
      </c>
      <c r="J4">
        <v>5</v>
      </c>
      <c r="K4" t="s">
        <v>28</v>
      </c>
      <c r="L4" t="s">
        <v>29</v>
      </c>
    </row>
    <row r="5" spans="1:13" x14ac:dyDescent="0.3">
      <c r="A5">
        <v>1005</v>
      </c>
      <c r="B5" s="1">
        <v>46101</v>
      </c>
      <c r="C5" t="s">
        <v>30</v>
      </c>
      <c r="D5" t="s">
        <v>31</v>
      </c>
      <c r="E5" t="s">
        <v>25</v>
      </c>
      <c r="F5" t="s">
        <v>32</v>
      </c>
      <c r="G5" t="s">
        <v>27</v>
      </c>
      <c r="H5">
        <v>5</v>
      </c>
      <c r="I5">
        <v>4721</v>
      </c>
      <c r="J5">
        <v>5</v>
      </c>
      <c r="K5" t="s">
        <v>28</v>
      </c>
      <c r="L5" t="s">
        <v>33</v>
      </c>
      <c r="M5" t="s">
        <v>20</v>
      </c>
    </row>
    <row r="6" spans="1:13" x14ac:dyDescent="0.3">
      <c r="A6">
        <v>1006</v>
      </c>
      <c r="B6" s="1">
        <v>46091</v>
      </c>
      <c r="C6" t="s">
        <v>34</v>
      </c>
      <c r="D6" t="s">
        <v>35</v>
      </c>
      <c r="E6" t="s">
        <v>36</v>
      </c>
      <c r="F6" t="s">
        <v>37</v>
      </c>
      <c r="G6" t="s">
        <v>17</v>
      </c>
      <c r="H6">
        <v>5</v>
      </c>
      <c r="I6">
        <v>310</v>
      </c>
      <c r="J6">
        <v>10</v>
      </c>
      <c r="K6" t="s">
        <v>18</v>
      </c>
      <c r="L6" t="s">
        <v>33</v>
      </c>
      <c r="M6" t="s">
        <v>20</v>
      </c>
    </row>
    <row r="7" spans="1:13" x14ac:dyDescent="0.3">
      <c r="A7">
        <v>1007</v>
      </c>
      <c r="B7" s="1">
        <v>46170</v>
      </c>
      <c r="C7" t="s">
        <v>38</v>
      </c>
      <c r="D7" t="s">
        <v>24</v>
      </c>
      <c r="E7" t="s">
        <v>36</v>
      </c>
      <c r="F7" t="s">
        <v>39</v>
      </c>
      <c r="G7" t="s">
        <v>40</v>
      </c>
      <c r="H7">
        <v>4</v>
      </c>
      <c r="I7">
        <v>1365</v>
      </c>
      <c r="J7">
        <v>5</v>
      </c>
      <c r="K7" t="s">
        <v>28</v>
      </c>
      <c r="L7" t="s">
        <v>29</v>
      </c>
      <c r="M7" t="s">
        <v>41</v>
      </c>
    </row>
    <row r="8" spans="1:13" x14ac:dyDescent="0.3">
      <c r="A8">
        <v>1008</v>
      </c>
      <c r="B8" s="1">
        <v>46194</v>
      </c>
      <c r="C8" t="s">
        <v>42</v>
      </c>
      <c r="D8" t="s">
        <v>43</v>
      </c>
      <c r="E8" t="s">
        <v>25</v>
      </c>
      <c r="F8" t="s">
        <v>26</v>
      </c>
      <c r="G8" t="s">
        <v>40</v>
      </c>
      <c r="H8">
        <v>4</v>
      </c>
      <c r="I8">
        <v>3367</v>
      </c>
      <c r="J8">
        <v>5</v>
      </c>
      <c r="K8" t="s">
        <v>22</v>
      </c>
      <c r="L8" t="s">
        <v>29</v>
      </c>
      <c r="M8" t="s">
        <v>20</v>
      </c>
    </row>
    <row r="9" spans="1:13" x14ac:dyDescent="0.3">
      <c r="A9">
        <v>1009</v>
      </c>
      <c r="B9" s="1">
        <v>46080</v>
      </c>
      <c r="C9" t="s">
        <v>44</v>
      </c>
      <c r="D9" t="s">
        <v>24</v>
      </c>
      <c r="E9" t="s">
        <v>15</v>
      </c>
      <c r="F9" t="s">
        <v>45</v>
      </c>
      <c r="G9" t="s">
        <v>46</v>
      </c>
      <c r="H9">
        <v>7</v>
      </c>
      <c r="I9">
        <v>635</v>
      </c>
      <c r="J9">
        <v>10</v>
      </c>
      <c r="K9" t="s">
        <v>28</v>
      </c>
      <c r="L9" t="s">
        <v>33</v>
      </c>
      <c r="M9" t="s">
        <v>20</v>
      </c>
    </row>
    <row r="10" spans="1:13" x14ac:dyDescent="0.3">
      <c r="A10">
        <v>1010</v>
      </c>
      <c r="B10" s="1">
        <v>46075</v>
      </c>
      <c r="C10" t="s">
        <v>47</v>
      </c>
      <c r="D10" t="s">
        <v>43</v>
      </c>
      <c r="E10" t="s">
        <v>15</v>
      </c>
      <c r="F10" t="s">
        <v>45</v>
      </c>
      <c r="G10" t="s">
        <v>40</v>
      </c>
      <c r="H10">
        <v>2</v>
      </c>
      <c r="I10">
        <v>931</v>
      </c>
      <c r="J10">
        <v>10</v>
      </c>
      <c r="K10" t="s">
        <v>28</v>
      </c>
      <c r="L10" t="s">
        <v>33</v>
      </c>
      <c r="M10" t="s">
        <v>48</v>
      </c>
    </row>
    <row r="11" spans="1:13" x14ac:dyDescent="0.3">
      <c r="A11">
        <v>1011</v>
      </c>
      <c r="B11" s="1">
        <v>46067</v>
      </c>
      <c r="C11" t="s">
        <v>49</v>
      </c>
      <c r="D11" t="s">
        <v>14</v>
      </c>
      <c r="E11" t="s">
        <v>15</v>
      </c>
      <c r="F11" t="s">
        <v>16</v>
      </c>
      <c r="G11" t="s">
        <v>40</v>
      </c>
      <c r="H11">
        <v>2</v>
      </c>
      <c r="I11">
        <v>1634</v>
      </c>
      <c r="J11">
        <v>15</v>
      </c>
      <c r="K11" t="s">
        <v>28</v>
      </c>
      <c r="L11" t="s">
        <v>29</v>
      </c>
    </row>
    <row r="12" spans="1:13" x14ac:dyDescent="0.3">
      <c r="A12">
        <v>1012</v>
      </c>
      <c r="B12" s="1">
        <v>46076</v>
      </c>
      <c r="C12" t="s">
        <v>50</v>
      </c>
      <c r="D12" t="s">
        <v>24</v>
      </c>
      <c r="E12" t="s">
        <v>25</v>
      </c>
      <c r="F12" t="s">
        <v>32</v>
      </c>
      <c r="G12" t="s">
        <v>46</v>
      </c>
      <c r="H12">
        <v>7</v>
      </c>
      <c r="I12">
        <v>4252</v>
      </c>
      <c r="J12">
        <v>15</v>
      </c>
      <c r="K12" t="s">
        <v>28</v>
      </c>
      <c r="L12" t="s">
        <v>19</v>
      </c>
    </row>
    <row r="13" spans="1:13" x14ac:dyDescent="0.3">
      <c r="A13">
        <v>1013</v>
      </c>
      <c r="B13" s="1">
        <v>46189</v>
      </c>
      <c r="C13" t="s">
        <v>51</v>
      </c>
      <c r="D13" t="s">
        <v>24</v>
      </c>
      <c r="E13" t="s">
        <v>15</v>
      </c>
      <c r="F13" t="s">
        <v>16</v>
      </c>
      <c r="G13" t="s">
        <v>17</v>
      </c>
      <c r="H13">
        <v>2</v>
      </c>
      <c r="I13">
        <v>2374</v>
      </c>
      <c r="J13">
        <v>10</v>
      </c>
      <c r="K13" t="s">
        <v>22</v>
      </c>
      <c r="L13" t="s">
        <v>33</v>
      </c>
    </row>
    <row r="14" spans="1:13" x14ac:dyDescent="0.3">
      <c r="A14">
        <v>1014</v>
      </c>
      <c r="B14" s="1">
        <v>46193</v>
      </c>
      <c r="C14" t="s">
        <v>52</v>
      </c>
      <c r="D14" t="s">
        <v>43</v>
      </c>
      <c r="E14" t="s">
        <v>15</v>
      </c>
      <c r="F14" t="s">
        <v>16</v>
      </c>
      <c r="G14" t="s">
        <v>17</v>
      </c>
      <c r="H14">
        <v>5</v>
      </c>
      <c r="I14">
        <v>1612</v>
      </c>
      <c r="J14">
        <v>5</v>
      </c>
      <c r="K14" t="s">
        <v>28</v>
      </c>
      <c r="L14" t="s">
        <v>29</v>
      </c>
      <c r="M14" t="s">
        <v>41</v>
      </c>
    </row>
    <row r="15" spans="1:13" x14ac:dyDescent="0.3">
      <c r="A15">
        <v>1015</v>
      </c>
      <c r="B15" s="1">
        <v>46182</v>
      </c>
      <c r="C15" t="s">
        <v>53</v>
      </c>
      <c r="D15" t="s">
        <v>24</v>
      </c>
      <c r="E15" t="s">
        <v>36</v>
      </c>
      <c r="F15" t="s">
        <v>54</v>
      </c>
      <c r="G15" t="s">
        <v>46</v>
      </c>
      <c r="H15">
        <v>10</v>
      </c>
      <c r="I15">
        <v>1044</v>
      </c>
      <c r="J15">
        <v>15</v>
      </c>
      <c r="K15" t="s">
        <v>22</v>
      </c>
      <c r="L15" t="s">
        <v>29</v>
      </c>
      <c r="M15" t="s">
        <v>20</v>
      </c>
    </row>
    <row r="16" spans="1:13" x14ac:dyDescent="0.3">
      <c r="A16">
        <v>1016</v>
      </c>
      <c r="B16" s="1">
        <v>46113</v>
      </c>
      <c r="C16" t="s">
        <v>55</v>
      </c>
      <c r="D16" t="s">
        <v>43</v>
      </c>
      <c r="E16" t="s">
        <v>36</v>
      </c>
      <c r="F16" t="s">
        <v>54</v>
      </c>
      <c r="G16" t="s">
        <v>46</v>
      </c>
      <c r="H16">
        <v>9</v>
      </c>
      <c r="I16">
        <v>3043</v>
      </c>
      <c r="J16">
        <v>10</v>
      </c>
      <c r="K16" t="s">
        <v>28</v>
      </c>
      <c r="L16" t="s">
        <v>33</v>
      </c>
    </row>
    <row r="17" spans="1:13" x14ac:dyDescent="0.3">
      <c r="A17">
        <v>1017</v>
      </c>
      <c r="B17" s="1">
        <v>46197</v>
      </c>
      <c r="C17" t="s">
        <v>56</v>
      </c>
      <c r="D17" t="s">
        <v>14</v>
      </c>
      <c r="E17" t="s">
        <v>15</v>
      </c>
      <c r="F17" t="s">
        <v>16</v>
      </c>
      <c r="G17" t="s">
        <v>17</v>
      </c>
      <c r="H17">
        <v>1</v>
      </c>
      <c r="I17">
        <v>319</v>
      </c>
      <c r="J17">
        <v>5</v>
      </c>
      <c r="K17" t="s">
        <v>28</v>
      </c>
      <c r="L17" t="s">
        <v>33</v>
      </c>
      <c r="M17" t="s">
        <v>41</v>
      </c>
    </row>
    <row r="18" spans="1:13" x14ac:dyDescent="0.3">
      <c r="A18">
        <v>1018</v>
      </c>
      <c r="B18" s="1">
        <v>46063</v>
      </c>
      <c r="C18" t="s">
        <v>57</v>
      </c>
      <c r="D18" t="s">
        <v>14</v>
      </c>
      <c r="E18" t="s">
        <v>15</v>
      </c>
      <c r="F18" t="s">
        <v>16</v>
      </c>
      <c r="G18" t="s">
        <v>46</v>
      </c>
      <c r="H18">
        <v>8</v>
      </c>
      <c r="I18">
        <v>4177</v>
      </c>
      <c r="J18">
        <v>0</v>
      </c>
      <c r="K18" t="s">
        <v>18</v>
      </c>
      <c r="L18" t="s">
        <v>19</v>
      </c>
      <c r="M18" t="s">
        <v>41</v>
      </c>
    </row>
    <row r="19" spans="1:13" x14ac:dyDescent="0.3">
      <c r="A19">
        <v>1019</v>
      </c>
      <c r="B19" s="1">
        <v>46099</v>
      </c>
      <c r="C19" t="s">
        <v>58</v>
      </c>
      <c r="D19" t="s">
        <v>24</v>
      </c>
      <c r="E19" t="s">
        <v>25</v>
      </c>
      <c r="F19" t="s">
        <v>26</v>
      </c>
      <c r="G19" t="s">
        <v>46</v>
      </c>
      <c r="H19">
        <v>4</v>
      </c>
      <c r="I19">
        <v>3996</v>
      </c>
      <c r="J19">
        <v>5</v>
      </c>
      <c r="K19" t="s">
        <v>28</v>
      </c>
      <c r="L19" t="s">
        <v>29</v>
      </c>
      <c r="M19" t="s">
        <v>41</v>
      </c>
    </row>
    <row r="20" spans="1:13" x14ac:dyDescent="0.3">
      <c r="A20">
        <v>1020</v>
      </c>
      <c r="B20" s="1">
        <v>46126</v>
      </c>
      <c r="C20" t="s">
        <v>59</v>
      </c>
      <c r="D20" t="s">
        <v>14</v>
      </c>
      <c r="E20" t="s">
        <v>36</v>
      </c>
      <c r="F20" t="s">
        <v>54</v>
      </c>
      <c r="G20" t="s">
        <v>17</v>
      </c>
      <c r="H20">
        <v>5</v>
      </c>
      <c r="I20">
        <v>1889</v>
      </c>
      <c r="J20">
        <v>10</v>
      </c>
      <c r="K20" t="s">
        <v>22</v>
      </c>
      <c r="L20" t="s">
        <v>33</v>
      </c>
      <c r="M20" t="s">
        <v>48</v>
      </c>
    </row>
    <row r="21" spans="1:13" x14ac:dyDescent="0.3">
      <c r="A21">
        <v>1021</v>
      </c>
      <c r="B21" s="1">
        <v>46165</v>
      </c>
      <c r="C21" t="s">
        <v>60</v>
      </c>
      <c r="D21" t="s">
        <v>31</v>
      </c>
      <c r="E21" t="s">
        <v>15</v>
      </c>
      <c r="F21" t="s">
        <v>45</v>
      </c>
      <c r="G21" t="s">
        <v>27</v>
      </c>
      <c r="H21">
        <v>10</v>
      </c>
      <c r="I21">
        <v>1883</v>
      </c>
      <c r="J21">
        <v>0</v>
      </c>
      <c r="K21" t="s">
        <v>18</v>
      </c>
      <c r="L21" t="s">
        <v>33</v>
      </c>
      <c r="M21" t="s">
        <v>41</v>
      </c>
    </row>
    <row r="22" spans="1:13" x14ac:dyDescent="0.3">
      <c r="A22">
        <v>1022</v>
      </c>
      <c r="B22" s="1">
        <v>46081</v>
      </c>
      <c r="C22" t="s">
        <v>61</v>
      </c>
      <c r="D22" t="s">
        <v>14</v>
      </c>
      <c r="E22" t="s">
        <v>25</v>
      </c>
      <c r="F22" t="s">
        <v>26</v>
      </c>
      <c r="G22" t="s">
        <v>27</v>
      </c>
      <c r="H22">
        <v>3</v>
      </c>
      <c r="I22">
        <v>3962</v>
      </c>
      <c r="J22">
        <v>5</v>
      </c>
      <c r="K22" t="s">
        <v>22</v>
      </c>
      <c r="L22" t="s">
        <v>33</v>
      </c>
      <c r="M22" t="s">
        <v>41</v>
      </c>
    </row>
    <row r="23" spans="1:13" x14ac:dyDescent="0.3">
      <c r="A23">
        <v>1023</v>
      </c>
      <c r="B23" s="1">
        <v>46146</v>
      </c>
      <c r="C23" t="s">
        <v>62</v>
      </c>
      <c r="D23" t="s">
        <v>14</v>
      </c>
      <c r="E23" t="s">
        <v>15</v>
      </c>
      <c r="F23" t="s">
        <v>45</v>
      </c>
      <c r="G23" t="s">
        <v>27</v>
      </c>
      <c r="H23">
        <v>2</v>
      </c>
      <c r="I23">
        <v>1153</v>
      </c>
      <c r="J23">
        <v>0</v>
      </c>
      <c r="K23" t="s">
        <v>22</v>
      </c>
      <c r="L23" t="s">
        <v>19</v>
      </c>
      <c r="M23" t="s">
        <v>48</v>
      </c>
    </row>
    <row r="24" spans="1:13" x14ac:dyDescent="0.3">
      <c r="A24">
        <v>1024</v>
      </c>
      <c r="B24" s="1">
        <v>46075</v>
      </c>
      <c r="C24" t="s">
        <v>63</v>
      </c>
      <c r="D24" t="s">
        <v>24</v>
      </c>
      <c r="E24" t="s">
        <v>25</v>
      </c>
      <c r="F24" t="s">
        <v>26</v>
      </c>
      <c r="G24" t="s">
        <v>46</v>
      </c>
      <c r="H24">
        <v>6</v>
      </c>
      <c r="I24">
        <v>2809</v>
      </c>
      <c r="J24">
        <v>5</v>
      </c>
      <c r="K24" t="s">
        <v>28</v>
      </c>
      <c r="L24" t="s">
        <v>19</v>
      </c>
      <c r="M24" t="s">
        <v>20</v>
      </c>
    </row>
    <row r="25" spans="1:13" x14ac:dyDescent="0.3">
      <c r="A25">
        <v>1025</v>
      </c>
      <c r="B25" s="1">
        <v>46129</v>
      </c>
      <c r="C25" t="s">
        <v>64</v>
      </c>
      <c r="D25" t="s">
        <v>24</v>
      </c>
      <c r="E25" t="s">
        <v>36</v>
      </c>
      <c r="F25" t="s">
        <v>37</v>
      </c>
      <c r="G25" t="s">
        <v>40</v>
      </c>
      <c r="H25">
        <v>4</v>
      </c>
      <c r="I25">
        <v>2307</v>
      </c>
      <c r="J25">
        <v>10</v>
      </c>
      <c r="K25" t="s">
        <v>18</v>
      </c>
      <c r="L25" t="s">
        <v>19</v>
      </c>
      <c r="M25" t="s">
        <v>41</v>
      </c>
    </row>
    <row r="26" spans="1:13" x14ac:dyDescent="0.3">
      <c r="A26">
        <v>1026</v>
      </c>
      <c r="B26" s="1">
        <v>46030</v>
      </c>
      <c r="C26" t="s">
        <v>65</v>
      </c>
      <c r="D26" t="s">
        <v>24</v>
      </c>
      <c r="E26" t="s">
        <v>25</v>
      </c>
      <c r="F26" t="s">
        <v>32</v>
      </c>
      <c r="G26" t="s">
        <v>17</v>
      </c>
      <c r="H26">
        <v>2</v>
      </c>
      <c r="I26">
        <v>1874</v>
      </c>
      <c r="J26">
        <v>0</v>
      </c>
      <c r="K26" t="s">
        <v>22</v>
      </c>
      <c r="L26" t="s">
        <v>29</v>
      </c>
    </row>
    <row r="27" spans="1:13" x14ac:dyDescent="0.3">
      <c r="A27">
        <v>1027</v>
      </c>
      <c r="B27" s="1">
        <v>46075</v>
      </c>
      <c r="C27" t="s">
        <v>66</v>
      </c>
      <c r="D27" t="s">
        <v>35</v>
      </c>
      <c r="E27" t="s">
        <v>15</v>
      </c>
      <c r="F27" t="s">
        <v>16</v>
      </c>
      <c r="G27" t="s">
        <v>17</v>
      </c>
      <c r="H27">
        <v>9</v>
      </c>
      <c r="I27">
        <v>2591</v>
      </c>
      <c r="J27">
        <v>10</v>
      </c>
      <c r="K27" t="s">
        <v>18</v>
      </c>
      <c r="L27" t="s">
        <v>33</v>
      </c>
      <c r="M27" t="s">
        <v>48</v>
      </c>
    </row>
    <row r="28" spans="1:13" x14ac:dyDescent="0.3">
      <c r="A28">
        <v>1028</v>
      </c>
      <c r="B28" s="1">
        <v>46153</v>
      </c>
      <c r="C28" t="s">
        <v>67</v>
      </c>
      <c r="D28" t="s">
        <v>43</v>
      </c>
      <c r="E28" t="s">
        <v>36</v>
      </c>
      <c r="F28" t="s">
        <v>54</v>
      </c>
      <c r="G28" t="s">
        <v>40</v>
      </c>
      <c r="H28">
        <v>10</v>
      </c>
      <c r="I28">
        <v>2973</v>
      </c>
      <c r="J28">
        <v>5</v>
      </c>
      <c r="K28" t="s">
        <v>22</v>
      </c>
      <c r="L28" t="s">
        <v>29</v>
      </c>
      <c r="M28" t="s">
        <v>48</v>
      </c>
    </row>
    <row r="29" spans="1:13" x14ac:dyDescent="0.3">
      <c r="A29">
        <v>1029</v>
      </c>
      <c r="B29" s="1">
        <v>46122</v>
      </c>
      <c r="C29" t="s">
        <v>68</v>
      </c>
      <c r="D29" t="s">
        <v>24</v>
      </c>
      <c r="E29" t="s">
        <v>15</v>
      </c>
      <c r="F29" t="s">
        <v>16</v>
      </c>
      <c r="G29" t="s">
        <v>40</v>
      </c>
      <c r="H29">
        <v>1</v>
      </c>
      <c r="I29">
        <v>1713</v>
      </c>
      <c r="J29">
        <v>0</v>
      </c>
      <c r="K29" t="s">
        <v>28</v>
      </c>
      <c r="L29" t="s">
        <v>29</v>
      </c>
      <c r="M29" t="s">
        <v>20</v>
      </c>
    </row>
    <row r="30" spans="1:13" x14ac:dyDescent="0.3">
      <c r="A30">
        <v>1030</v>
      </c>
      <c r="B30" s="1">
        <v>46163</v>
      </c>
      <c r="C30" t="s">
        <v>69</v>
      </c>
      <c r="D30" t="s">
        <v>24</v>
      </c>
      <c r="E30" t="s">
        <v>25</v>
      </c>
      <c r="F30" t="s">
        <v>32</v>
      </c>
      <c r="G30" t="s">
        <v>46</v>
      </c>
      <c r="H30">
        <v>2</v>
      </c>
      <c r="I30">
        <v>4916</v>
      </c>
      <c r="J30">
        <v>5</v>
      </c>
      <c r="K30" t="s">
        <v>28</v>
      </c>
      <c r="L30" t="s">
        <v>19</v>
      </c>
      <c r="M30" t="s">
        <v>48</v>
      </c>
    </row>
    <row r="31" spans="1:13" x14ac:dyDescent="0.3">
      <c r="A31">
        <v>1031</v>
      </c>
      <c r="B31" s="1">
        <v>46061</v>
      </c>
      <c r="C31" t="s">
        <v>70</v>
      </c>
      <c r="D31" t="s">
        <v>31</v>
      </c>
      <c r="E31" t="s">
        <v>25</v>
      </c>
      <c r="F31" t="s">
        <v>32</v>
      </c>
      <c r="G31" t="s">
        <v>46</v>
      </c>
      <c r="H31">
        <v>7</v>
      </c>
      <c r="I31">
        <v>2683</v>
      </c>
      <c r="J31">
        <v>10</v>
      </c>
      <c r="K31" t="s">
        <v>18</v>
      </c>
      <c r="L31" t="s">
        <v>19</v>
      </c>
    </row>
    <row r="32" spans="1:13" x14ac:dyDescent="0.3">
      <c r="A32">
        <v>1032</v>
      </c>
      <c r="B32" s="1">
        <v>46122</v>
      </c>
      <c r="C32" t="s">
        <v>71</v>
      </c>
      <c r="D32" t="s">
        <v>35</v>
      </c>
      <c r="E32" t="s">
        <v>15</v>
      </c>
      <c r="F32" t="s">
        <v>45</v>
      </c>
      <c r="G32" t="s">
        <v>40</v>
      </c>
      <c r="H32">
        <v>10</v>
      </c>
      <c r="I32">
        <v>4144</v>
      </c>
      <c r="J32">
        <v>15</v>
      </c>
      <c r="K32" t="s">
        <v>22</v>
      </c>
      <c r="L32" t="s">
        <v>33</v>
      </c>
      <c r="M32" t="s">
        <v>41</v>
      </c>
    </row>
    <row r="33" spans="1:13" x14ac:dyDescent="0.3">
      <c r="A33">
        <v>1033</v>
      </c>
      <c r="B33" s="1">
        <v>46133</v>
      </c>
      <c r="C33" t="s">
        <v>72</v>
      </c>
      <c r="D33" t="s">
        <v>35</v>
      </c>
      <c r="E33" t="s">
        <v>36</v>
      </c>
      <c r="F33" t="s">
        <v>39</v>
      </c>
      <c r="G33" t="s">
        <v>27</v>
      </c>
      <c r="H33">
        <v>7</v>
      </c>
      <c r="I33">
        <v>4072</v>
      </c>
      <c r="J33">
        <v>15</v>
      </c>
      <c r="K33" t="s">
        <v>22</v>
      </c>
      <c r="L33" t="s">
        <v>19</v>
      </c>
    </row>
    <row r="34" spans="1:13" x14ac:dyDescent="0.3">
      <c r="A34">
        <v>1034</v>
      </c>
      <c r="B34" s="1">
        <v>46057</v>
      </c>
      <c r="C34" t="s">
        <v>73</v>
      </c>
      <c r="D34" t="s">
        <v>24</v>
      </c>
      <c r="E34" t="s">
        <v>25</v>
      </c>
      <c r="F34" t="s">
        <v>32</v>
      </c>
      <c r="G34" t="s">
        <v>46</v>
      </c>
      <c r="H34">
        <v>9</v>
      </c>
      <c r="I34">
        <v>2346</v>
      </c>
      <c r="J34">
        <v>15</v>
      </c>
      <c r="K34" t="s">
        <v>28</v>
      </c>
      <c r="L34" t="s">
        <v>29</v>
      </c>
      <c r="M34" t="s">
        <v>20</v>
      </c>
    </row>
    <row r="35" spans="1:13" x14ac:dyDescent="0.3">
      <c r="A35">
        <v>1035</v>
      </c>
      <c r="B35" s="1">
        <v>46045</v>
      </c>
      <c r="C35" t="s">
        <v>74</v>
      </c>
      <c r="D35" t="s">
        <v>35</v>
      </c>
      <c r="E35" t="s">
        <v>15</v>
      </c>
      <c r="F35" t="s">
        <v>45</v>
      </c>
      <c r="G35" t="s">
        <v>46</v>
      </c>
      <c r="H35">
        <v>2</v>
      </c>
      <c r="I35">
        <v>546</v>
      </c>
      <c r="J35">
        <v>5</v>
      </c>
      <c r="K35" t="s">
        <v>22</v>
      </c>
      <c r="L35" t="s">
        <v>29</v>
      </c>
      <c r="M35" t="s">
        <v>20</v>
      </c>
    </row>
    <row r="36" spans="1:13" x14ac:dyDescent="0.3">
      <c r="A36">
        <v>1036</v>
      </c>
      <c r="B36" s="1">
        <v>46113</v>
      </c>
      <c r="C36" t="s">
        <v>75</v>
      </c>
      <c r="D36" t="s">
        <v>31</v>
      </c>
      <c r="E36" t="s">
        <v>36</v>
      </c>
      <c r="F36" t="s">
        <v>54</v>
      </c>
      <c r="G36" t="s">
        <v>40</v>
      </c>
      <c r="H36">
        <v>10</v>
      </c>
      <c r="I36">
        <v>705</v>
      </c>
      <c r="J36">
        <v>0</v>
      </c>
      <c r="K36" t="s">
        <v>28</v>
      </c>
      <c r="L36" t="s">
        <v>29</v>
      </c>
      <c r="M36" t="s">
        <v>41</v>
      </c>
    </row>
    <row r="37" spans="1:13" x14ac:dyDescent="0.3">
      <c r="A37">
        <v>1037</v>
      </c>
      <c r="B37" s="1">
        <v>46141</v>
      </c>
      <c r="C37" t="s">
        <v>76</v>
      </c>
      <c r="D37" t="s">
        <v>31</v>
      </c>
      <c r="E37" t="s">
        <v>15</v>
      </c>
      <c r="F37" t="s">
        <v>16</v>
      </c>
      <c r="G37" t="s">
        <v>17</v>
      </c>
      <c r="H37">
        <v>4</v>
      </c>
      <c r="I37">
        <v>2514</v>
      </c>
      <c r="J37">
        <v>0</v>
      </c>
      <c r="K37" t="s">
        <v>28</v>
      </c>
      <c r="L37" t="s">
        <v>19</v>
      </c>
      <c r="M37" t="s">
        <v>48</v>
      </c>
    </row>
    <row r="38" spans="1:13" x14ac:dyDescent="0.3">
      <c r="A38">
        <v>1038</v>
      </c>
      <c r="B38" s="1">
        <v>46182</v>
      </c>
      <c r="C38" t="s">
        <v>77</v>
      </c>
      <c r="D38" t="s">
        <v>43</v>
      </c>
      <c r="E38" t="s">
        <v>36</v>
      </c>
      <c r="F38" t="s">
        <v>54</v>
      </c>
      <c r="G38" t="s">
        <v>27</v>
      </c>
      <c r="H38">
        <v>6</v>
      </c>
      <c r="I38">
        <v>1188</v>
      </c>
      <c r="J38">
        <v>0</v>
      </c>
      <c r="K38" t="s">
        <v>28</v>
      </c>
      <c r="L38" t="s">
        <v>33</v>
      </c>
      <c r="M38" t="s">
        <v>41</v>
      </c>
    </row>
    <row r="39" spans="1:13" x14ac:dyDescent="0.3">
      <c r="A39">
        <v>1039</v>
      </c>
      <c r="B39" s="1">
        <v>46087</v>
      </c>
      <c r="C39" t="s">
        <v>78</v>
      </c>
      <c r="D39" t="s">
        <v>43</v>
      </c>
      <c r="E39" t="s">
        <v>15</v>
      </c>
      <c r="F39" t="s">
        <v>45</v>
      </c>
      <c r="G39" t="s">
        <v>40</v>
      </c>
      <c r="H39">
        <v>6</v>
      </c>
      <c r="I39">
        <v>4718</v>
      </c>
      <c r="J39">
        <v>5</v>
      </c>
      <c r="K39" t="s">
        <v>28</v>
      </c>
      <c r="L39" t="s">
        <v>33</v>
      </c>
      <c r="M39" t="s">
        <v>41</v>
      </c>
    </row>
    <row r="40" spans="1:13" x14ac:dyDescent="0.3">
      <c r="A40">
        <v>1040</v>
      </c>
      <c r="B40" s="1">
        <v>46181</v>
      </c>
      <c r="C40" t="s">
        <v>79</v>
      </c>
      <c r="D40" t="s">
        <v>31</v>
      </c>
      <c r="E40" t="s">
        <v>36</v>
      </c>
      <c r="F40" t="s">
        <v>37</v>
      </c>
      <c r="G40" t="s">
        <v>40</v>
      </c>
      <c r="H40">
        <v>8</v>
      </c>
      <c r="I40">
        <v>565</v>
      </c>
      <c r="J40">
        <v>15</v>
      </c>
      <c r="K40" t="s">
        <v>28</v>
      </c>
      <c r="L40" t="s">
        <v>33</v>
      </c>
      <c r="M40" t="s">
        <v>41</v>
      </c>
    </row>
    <row r="41" spans="1:13" x14ac:dyDescent="0.3">
      <c r="A41">
        <v>1041</v>
      </c>
      <c r="B41" s="1">
        <v>46063</v>
      </c>
      <c r="C41" t="s">
        <v>80</v>
      </c>
      <c r="D41" t="s">
        <v>31</v>
      </c>
      <c r="E41" t="s">
        <v>36</v>
      </c>
      <c r="F41" t="s">
        <v>37</v>
      </c>
      <c r="G41" t="s">
        <v>17</v>
      </c>
      <c r="H41">
        <v>3</v>
      </c>
      <c r="I41">
        <v>4102</v>
      </c>
      <c r="J41">
        <v>5</v>
      </c>
      <c r="K41" t="s">
        <v>28</v>
      </c>
      <c r="L41" t="s">
        <v>19</v>
      </c>
      <c r="M41" t="s">
        <v>20</v>
      </c>
    </row>
    <row r="42" spans="1:13" x14ac:dyDescent="0.3">
      <c r="A42">
        <v>1042</v>
      </c>
      <c r="B42" s="1">
        <v>46052</v>
      </c>
      <c r="C42" t="s">
        <v>81</v>
      </c>
      <c r="D42" t="s">
        <v>24</v>
      </c>
      <c r="E42" t="s">
        <v>15</v>
      </c>
      <c r="F42" t="s">
        <v>45</v>
      </c>
      <c r="G42" t="s">
        <v>17</v>
      </c>
      <c r="H42">
        <v>4</v>
      </c>
      <c r="I42">
        <v>713</v>
      </c>
      <c r="J42">
        <v>15</v>
      </c>
      <c r="K42" t="s">
        <v>22</v>
      </c>
      <c r="L42" t="s">
        <v>19</v>
      </c>
      <c r="M42" t="s">
        <v>48</v>
      </c>
    </row>
    <row r="43" spans="1:13" x14ac:dyDescent="0.3">
      <c r="A43">
        <v>1043</v>
      </c>
      <c r="B43" s="1">
        <v>46156</v>
      </c>
      <c r="C43" t="s">
        <v>82</v>
      </c>
      <c r="D43" t="s">
        <v>14</v>
      </c>
      <c r="E43" t="s">
        <v>15</v>
      </c>
      <c r="F43" t="s">
        <v>45</v>
      </c>
      <c r="G43" t="s">
        <v>27</v>
      </c>
      <c r="H43">
        <v>5</v>
      </c>
      <c r="I43">
        <v>2283</v>
      </c>
      <c r="J43">
        <v>15</v>
      </c>
      <c r="K43" t="s">
        <v>28</v>
      </c>
      <c r="L43" t="s">
        <v>29</v>
      </c>
      <c r="M43" t="s">
        <v>41</v>
      </c>
    </row>
    <row r="44" spans="1:13" x14ac:dyDescent="0.3">
      <c r="A44">
        <v>1044</v>
      </c>
      <c r="B44" s="1">
        <v>46078</v>
      </c>
      <c r="C44" t="s">
        <v>83</v>
      </c>
      <c r="D44" t="s">
        <v>14</v>
      </c>
      <c r="E44" t="s">
        <v>36</v>
      </c>
      <c r="F44" t="s">
        <v>39</v>
      </c>
      <c r="G44" t="s">
        <v>46</v>
      </c>
      <c r="H44">
        <v>8</v>
      </c>
      <c r="I44">
        <v>1957</v>
      </c>
      <c r="J44">
        <v>10</v>
      </c>
      <c r="K44" t="s">
        <v>28</v>
      </c>
      <c r="L44" t="s">
        <v>19</v>
      </c>
      <c r="M44" t="s">
        <v>20</v>
      </c>
    </row>
    <row r="45" spans="1:13" x14ac:dyDescent="0.3">
      <c r="A45">
        <v>1045</v>
      </c>
      <c r="B45" s="1">
        <v>46046</v>
      </c>
      <c r="C45" t="s">
        <v>84</v>
      </c>
      <c r="D45" t="s">
        <v>43</v>
      </c>
      <c r="E45" t="s">
        <v>25</v>
      </c>
      <c r="F45" t="s">
        <v>26</v>
      </c>
      <c r="G45" t="s">
        <v>46</v>
      </c>
      <c r="H45">
        <v>10</v>
      </c>
      <c r="I45">
        <v>2544</v>
      </c>
      <c r="J45">
        <v>5</v>
      </c>
      <c r="K45" t="s">
        <v>28</v>
      </c>
      <c r="L45" t="s">
        <v>19</v>
      </c>
    </row>
    <row r="46" spans="1:13" x14ac:dyDescent="0.3">
      <c r="A46">
        <v>1046</v>
      </c>
      <c r="B46" s="1">
        <v>46180</v>
      </c>
      <c r="C46" t="s">
        <v>85</v>
      </c>
      <c r="D46" t="s">
        <v>31</v>
      </c>
      <c r="E46" t="s">
        <v>25</v>
      </c>
      <c r="F46" t="s">
        <v>26</v>
      </c>
      <c r="G46" t="s">
        <v>40</v>
      </c>
      <c r="H46">
        <v>1</v>
      </c>
      <c r="I46">
        <v>353</v>
      </c>
      <c r="J46">
        <v>15</v>
      </c>
      <c r="K46" t="s">
        <v>28</v>
      </c>
      <c r="L46" t="s">
        <v>29</v>
      </c>
      <c r="M46" t="s">
        <v>41</v>
      </c>
    </row>
    <row r="47" spans="1:13" x14ac:dyDescent="0.3">
      <c r="A47">
        <v>1047</v>
      </c>
      <c r="B47" s="1">
        <v>46162</v>
      </c>
      <c r="C47" t="s">
        <v>86</v>
      </c>
      <c r="D47" t="s">
        <v>35</v>
      </c>
      <c r="E47" t="s">
        <v>25</v>
      </c>
      <c r="F47" t="s">
        <v>32</v>
      </c>
      <c r="G47" t="s">
        <v>46</v>
      </c>
      <c r="H47">
        <v>9</v>
      </c>
      <c r="I47">
        <v>4928</v>
      </c>
      <c r="J47">
        <v>0</v>
      </c>
      <c r="K47" t="s">
        <v>18</v>
      </c>
      <c r="L47" t="s">
        <v>19</v>
      </c>
      <c r="M47" t="s">
        <v>41</v>
      </c>
    </row>
    <row r="48" spans="1:13" x14ac:dyDescent="0.3">
      <c r="A48">
        <v>1048</v>
      </c>
      <c r="B48" s="1">
        <v>46078</v>
      </c>
      <c r="C48" t="s">
        <v>87</v>
      </c>
      <c r="D48" t="s">
        <v>31</v>
      </c>
      <c r="E48" t="s">
        <v>15</v>
      </c>
      <c r="F48" t="s">
        <v>16</v>
      </c>
      <c r="G48" t="s">
        <v>46</v>
      </c>
      <c r="H48">
        <v>9</v>
      </c>
      <c r="I48">
        <v>1271</v>
      </c>
      <c r="J48">
        <v>15</v>
      </c>
      <c r="K48" t="s">
        <v>22</v>
      </c>
      <c r="L48" t="s">
        <v>19</v>
      </c>
      <c r="M48" t="s">
        <v>48</v>
      </c>
    </row>
    <row r="49" spans="1:13" x14ac:dyDescent="0.3">
      <c r="A49">
        <v>1049</v>
      </c>
      <c r="B49" s="1">
        <v>46052</v>
      </c>
      <c r="C49" t="s">
        <v>88</v>
      </c>
      <c r="D49" t="s">
        <v>43</v>
      </c>
      <c r="E49" t="s">
        <v>15</v>
      </c>
      <c r="F49" t="s">
        <v>16</v>
      </c>
      <c r="G49" t="s">
        <v>40</v>
      </c>
      <c r="H49">
        <v>6</v>
      </c>
      <c r="I49">
        <v>4683</v>
      </c>
      <c r="J49">
        <v>15</v>
      </c>
      <c r="K49" t="s">
        <v>28</v>
      </c>
      <c r="L49" t="s">
        <v>29</v>
      </c>
    </row>
    <row r="50" spans="1:13" x14ac:dyDescent="0.3">
      <c r="A50">
        <v>1050</v>
      </c>
      <c r="B50" s="1">
        <v>46189</v>
      </c>
      <c r="C50" t="s">
        <v>89</v>
      </c>
      <c r="D50" t="s">
        <v>31</v>
      </c>
      <c r="E50" t="s">
        <v>25</v>
      </c>
      <c r="F50" t="s">
        <v>26</v>
      </c>
      <c r="G50" t="s">
        <v>46</v>
      </c>
      <c r="H50">
        <v>7</v>
      </c>
      <c r="I50">
        <v>2360</v>
      </c>
      <c r="J50">
        <v>10</v>
      </c>
      <c r="K50" t="s">
        <v>22</v>
      </c>
      <c r="L50" t="s">
        <v>29</v>
      </c>
      <c r="M50" t="s">
        <v>48</v>
      </c>
    </row>
    <row r="51" spans="1:13" x14ac:dyDescent="0.3">
      <c r="A51">
        <v>1051</v>
      </c>
      <c r="B51" s="1">
        <v>46054</v>
      </c>
      <c r="C51" t="s">
        <v>90</v>
      </c>
      <c r="D51" t="s">
        <v>43</v>
      </c>
      <c r="E51" t="s">
        <v>25</v>
      </c>
      <c r="F51" t="s">
        <v>26</v>
      </c>
      <c r="G51" t="s">
        <v>46</v>
      </c>
      <c r="H51">
        <v>10</v>
      </c>
      <c r="I51">
        <v>385</v>
      </c>
      <c r="J51">
        <v>0</v>
      </c>
      <c r="K51" t="s">
        <v>28</v>
      </c>
      <c r="L51" t="s">
        <v>29</v>
      </c>
    </row>
    <row r="52" spans="1:13" x14ac:dyDescent="0.3">
      <c r="A52">
        <v>1052</v>
      </c>
      <c r="B52" s="1">
        <v>46110</v>
      </c>
      <c r="C52" t="s">
        <v>91</v>
      </c>
      <c r="D52" t="s">
        <v>43</v>
      </c>
      <c r="E52" t="s">
        <v>25</v>
      </c>
      <c r="F52" t="s">
        <v>26</v>
      </c>
      <c r="G52" t="s">
        <v>17</v>
      </c>
      <c r="H52">
        <v>5</v>
      </c>
      <c r="I52">
        <v>1649</v>
      </c>
      <c r="J52">
        <v>5</v>
      </c>
      <c r="K52" t="s">
        <v>18</v>
      </c>
      <c r="L52" t="s">
        <v>29</v>
      </c>
      <c r="M52" t="s">
        <v>48</v>
      </c>
    </row>
    <row r="53" spans="1:13" x14ac:dyDescent="0.3">
      <c r="A53">
        <v>1053</v>
      </c>
      <c r="B53" s="1">
        <v>46033</v>
      </c>
      <c r="C53" t="s">
        <v>92</v>
      </c>
      <c r="D53" t="s">
        <v>24</v>
      </c>
      <c r="E53" t="s">
        <v>36</v>
      </c>
      <c r="F53" t="s">
        <v>37</v>
      </c>
      <c r="G53" t="s">
        <v>17</v>
      </c>
      <c r="H53">
        <v>7</v>
      </c>
      <c r="I53">
        <v>4810</v>
      </c>
      <c r="J53">
        <v>0</v>
      </c>
      <c r="K53" t="s">
        <v>22</v>
      </c>
      <c r="L53" t="s">
        <v>33</v>
      </c>
      <c r="M53" t="s">
        <v>48</v>
      </c>
    </row>
    <row r="54" spans="1:13" x14ac:dyDescent="0.3">
      <c r="A54">
        <v>1054</v>
      </c>
      <c r="B54" s="1">
        <v>46146</v>
      </c>
      <c r="C54" t="s">
        <v>93</v>
      </c>
      <c r="D54" t="s">
        <v>24</v>
      </c>
      <c r="E54" t="s">
        <v>25</v>
      </c>
      <c r="F54" t="s">
        <v>32</v>
      </c>
      <c r="G54" t="s">
        <v>27</v>
      </c>
      <c r="H54">
        <v>7</v>
      </c>
      <c r="I54">
        <v>1749</v>
      </c>
      <c r="J54">
        <v>15</v>
      </c>
      <c r="K54" t="s">
        <v>18</v>
      </c>
      <c r="L54" t="s">
        <v>19</v>
      </c>
      <c r="M54" t="s">
        <v>48</v>
      </c>
    </row>
    <row r="55" spans="1:13" x14ac:dyDescent="0.3">
      <c r="A55">
        <v>1055</v>
      </c>
      <c r="B55" s="1">
        <v>46203</v>
      </c>
      <c r="C55" t="s">
        <v>94</v>
      </c>
      <c r="D55" t="s">
        <v>43</v>
      </c>
      <c r="E55" t="s">
        <v>15</v>
      </c>
      <c r="F55" t="s">
        <v>16</v>
      </c>
      <c r="G55" t="s">
        <v>46</v>
      </c>
      <c r="H55">
        <v>8</v>
      </c>
      <c r="I55">
        <v>1461</v>
      </c>
      <c r="J55">
        <v>10</v>
      </c>
      <c r="K55" t="s">
        <v>22</v>
      </c>
      <c r="L55" t="s">
        <v>33</v>
      </c>
    </row>
    <row r="56" spans="1:13" x14ac:dyDescent="0.3">
      <c r="A56">
        <v>1056</v>
      </c>
      <c r="B56" s="1">
        <v>46066</v>
      </c>
      <c r="C56" t="s">
        <v>95</v>
      </c>
      <c r="D56" t="s">
        <v>35</v>
      </c>
      <c r="E56" t="s">
        <v>25</v>
      </c>
      <c r="F56" t="s">
        <v>32</v>
      </c>
      <c r="G56" t="s">
        <v>17</v>
      </c>
      <c r="H56">
        <v>1</v>
      </c>
      <c r="I56">
        <v>941</v>
      </c>
      <c r="J56">
        <v>0</v>
      </c>
      <c r="K56" t="s">
        <v>22</v>
      </c>
      <c r="L56" t="s">
        <v>19</v>
      </c>
    </row>
    <row r="57" spans="1:13" x14ac:dyDescent="0.3">
      <c r="A57">
        <v>1057</v>
      </c>
      <c r="B57" s="1">
        <v>46163</v>
      </c>
      <c r="C57" t="s">
        <v>96</v>
      </c>
      <c r="D57" t="s">
        <v>43</v>
      </c>
      <c r="E57" t="s">
        <v>25</v>
      </c>
      <c r="F57" t="s">
        <v>26</v>
      </c>
      <c r="G57" t="s">
        <v>17</v>
      </c>
      <c r="H57">
        <v>3</v>
      </c>
      <c r="I57">
        <v>1245</v>
      </c>
      <c r="J57">
        <v>0</v>
      </c>
      <c r="K57" t="s">
        <v>22</v>
      </c>
      <c r="L57" t="s">
        <v>33</v>
      </c>
    </row>
    <row r="58" spans="1:13" x14ac:dyDescent="0.3">
      <c r="A58">
        <v>1058</v>
      </c>
      <c r="B58" s="1">
        <v>46096</v>
      </c>
      <c r="C58" t="s">
        <v>97</v>
      </c>
      <c r="D58" t="s">
        <v>43</v>
      </c>
      <c r="E58" t="s">
        <v>25</v>
      </c>
      <c r="F58" t="s">
        <v>32</v>
      </c>
      <c r="G58" t="s">
        <v>46</v>
      </c>
      <c r="H58">
        <v>5</v>
      </c>
      <c r="I58">
        <v>3559</v>
      </c>
      <c r="J58">
        <v>5</v>
      </c>
      <c r="K58" t="s">
        <v>28</v>
      </c>
      <c r="L58" t="s">
        <v>33</v>
      </c>
      <c r="M58" t="s">
        <v>20</v>
      </c>
    </row>
    <row r="59" spans="1:13" x14ac:dyDescent="0.3">
      <c r="A59">
        <v>1059</v>
      </c>
      <c r="B59" s="1">
        <v>46081</v>
      </c>
      <c r="C59" t="s">
        <v>98</v>
      </c>
      <c r="D59" t="s">
        <v>24</v>
      </c>
      <c r="E59" t="s">
        <v>15</v>
      </c>
      <c r="F59" t="s">
        <v>16</v>
      </c>
      <c r="G59" t="s">
        <v>46</v>
      </c>
      <c r="H59">
        <v>4</v>
      </c>
      <c r="I59">
        <v>1204</v>
      </c>
      <c r="J59">
        <v>10</v>
      </c>
      <c r="K59" t="s">
        <v>28</v>
      </c>
      <c r="L59" t="s">
        <v>29</v>
      </c>
      <c r="M59" t="s">
        <v>48</v>
      </c>
    </row>
    <row r="60" spans="1:13" x14ac:dyDescent="0.3">
      <c r="A60">
        <v>1060</v>
      </c>
      <c r="B60" s="1">
        <v>46045</v>
      </c>
      <c r="C60" t="s">
        <v>99</v>
      </c>
      <c r="D60" t="s">
        <v>31</v>
      </c>
      <c r="E60" t="s">
        <v>15</v>
      </c>
      <c r="F60" t="s">
        <v>16</v>
      </c>
      <c r="G60" t="s">
        <v>27</v>
      </c>
      <c r="H60">
        <v>10</v>
      </c>
      <c r="I60">
        <v>435</v>
      </c>
      <c r="J60">
        <v>10</v>
      </c>
      <c r="K60" t="s">
        <v>22</v>
      </c>
      <c r="L60" t="s">
        <v>19</v>
      </c>
      <c r="M60" t="s">
        <v>48</v>
      </c>
    </row>
    <row r="61" spans="1:13" x14ac:dyDescent="0.3">
      <c r="A61">
        <v>1061</v>
      </c>
      <c r="B61" s="1">
        <v>46074</v>
      </c>
      <c r="C61" t="s">
        <v>100</v>
      </c>
      <c r="D61" t="s">
        <v>24</v>
      </c>
      <c r="E61" t="s">
        <v>25</v>
      </c>
      <c r="F61" t="s">
        <v>26</v>
      </c>
      <c r="G61" t="s">
        <v>46</v>
      </c>
      <c r="H61">
        <v>4</v>
      </c>
      <c r="I61">
        <v>4428</v>
      </c>
      <c r="J61">
        <v>0</v>
      </c>
      <c r="K61" t="s">
        <v>28</v>
      </c>
      <c r="L61" t="s">
        <v>33</v>
      </c>
    </row>
    <row r="62" spans="1:13" x14ac:dyDescent="0.3">
      <c r="A62">
        <v>1062</v>
      </c>
      <c r="B62" s="1">
        <v>46067</v>
      </c>
      <c r="C62" t="s">
        <v>101</v>
      </c>
      <c r="D62" t="s">
        <v>35</v>
      </c>
      <c r="E62" t="s">
        <v>15</v>
      </c>
      <c r="F62" t="s">
        <v>45</v>
      </c>
      <c r="G62" t="s">
        <v>40</v>
      </c>
      <c r="H62">
        <v>4</v>
      </c>
      <c r="I62">
        <v>2146</v>
      </c>
      <c r="J62">
        <v>5</v>
      </c>
      <c r="K62" t="s">
        <v>28</v>
      </c>
      <c r="L62" t="s">
        <v>33</v>
      </c>
      <c r="M62" t="s">
        <v>48</v>
      </c>
    </row>
    <row r="63" spans="1:13" x14ac:dyDescent="0.3">
      <c r="A63">
        <v>1063</v>
      </c>
      <c r="B63" s="1">
        <v>46092</v>
      </c>
      <c r="C63" t="s">
        <v>102</v>
      </c>
      <c r="D63" t="s">
        <v>24</v>
      </c>
      <c r="E63" t="s">
        <v>36</v>
      </c>
      <c r="F63" t="s">
        <v>37</v>
      </c>
      <c r="G63" t="s">
        <v>27</v>
      </c>
      <c r="H63">
        <v>4</v>
      </c>
      <c r="I63">
        <v>1168</v>
      </c>
      <c r="J63">
        <v>15</v>
      </c>
      <c r="K63" t="s">
        <v>28</v>
      </c>
      <c r="L63" t="s">
        <v>29</v>
      </c>
    </row>
    <row r="64" spans="1:13" x14ac:dyDescent="0.3">
      <c r="A64">
        <v>1064</v>
      </c>
      <c r="B64" s="1">
        <v>46059</v>
      </c>
      <c r="C64" t="s">
        <v>103</v>
      </c>
      <c r="D64" t="s">
        <v>24</v>
      </c>
      <c r="E64" t="s">
        <v>36</v>
      </c>
      <c r="F64" t="s">
        <v>39</v>
      </c>
      <c r="G64" t="s">
        <v>46</v>
      </c>
      <c r="H64">
        <v>6</v>
      </c>
      <c r="I64">
        <v>4798</v>
      </c>
      <c r="J64">
        <v>10</v>
      </c>
      <c r="K64" t="s">
        <v>28</v>
      </c>
      <c r="L64" t="s">
        <v>33</v>
      </c>
      <c r="M64" t="s">
        <v>20</v>
      </c>
    </row>
    <row r="65" spans="1:13" x14ac:dyDescent="0.3">
      <c r="A65">
        <v>1065</v>
      </c>
      <c r="B65" s="1">
        <v>46082</v>
      </c>
      <c r="C65" t="s">
        <v>104</v>
      </c>
      <c r="D65" t="s">
        <v>43</v>
      </c>
      <c r="E65" t="s">
        <v>36</v>
      </c>
      <c r="F65" t="s">
        <v>54</v>
      </c>
      <c r="G65" t="s">
        <v>27</v>
      </c>
      <c r="H65">
        <v>3</v>
      </c>
      <c r="I65">
        <v>2000</v>
      </c>
      <c r="J65">
        <v>10</v>
      </c>
      <c r="K65" t="s">
        <v>28</v>
      </c>
      <c r="L65" t="s">
        <v>33</v>
      </c>
    </row>
    <row r="66" spans="1:13" x14ac:dyDescent="0.3">
      <c r="A66">
        <v>1066</v>
      </c>
      <c r="B66" s="1">
        <v>46115</v>
      </c>
      <c r="C66" t="s">
        <v>105</v>
      </c>
      <c r="D66" t="s">
        <v>24</v>
      </c>
      <c r="E66" t="s">
        <v>15</v>
      </c>
      <c r="F66" t="s">
        <v>45</v>
      </c>
      <c r="G66" t="s">
        <v>40</v>
      </c>
      <c r="H66">
        <v>4</v>
      </c>
      <c r="I66">
        <v>3282</v>
      </c>
      <c r="J66">
        <v>15</v>
      </c>
      <c r="K66" t="s">
        <v>28</v>
      </c>
      <c r="L66" t="s">
        <v>29</v>
      </c>
      <c r="M66" t="s">
        <v>48</v>
      </c>
    </row>
    <row r="67" spans="1:13" x14ac:dyDescent="0.3">
      <c r="A67">
        <v>1067</v>
      </c>
      <c r="B67" s="1">
        <v>46067</v>
      </c>
      <c r="C67" t="s">
        <v>106</v>
      </c>
      <c r="D67" t="s">
        <v>35</v>
      </c>
      <c r="E67" t="s">
        <v>15</v>
      </c>
      <c r="F67" t="s">
        <v>45</v>
      </c>
      <c r="G67" t="s">
        <v>17</v>
      </c>
      <c r="H67">
        <v>6</v>
      </c>
      <c r="I67">
        <v>584</v>
      </c>
      <c r="J67">
        <v>15</v>
      </c>
      <c r="K67" t="s">
        <v>18</v>
      </c>
      <c r="L67" t="s">
        <v>33</v>
      </c>
      <c r="M67" t="s">
        <v>41</v>
      </c>
    </row>
    <row r="68" spans="1:13" x14ac:dyDescent="0.3">
      <c r="A68">
        <v>1068</v>
      </c>
      <c r="B68" s="1">
        <v>46032</v>
      </c>
      <c r="C68" t="s">
        <v>107</v>
      </c>
      <c r="D68" t="s">
        <v>35</v>
      </c>
      <c r="E68" t="s">
        <v>25</v>
      </c>
      <c r="F68" t="s">
        <v>26</v>
      </c>
      <c r="G68" t="s">
        <v>17</v>
      </c>
      <c r="H68">
        <v>2</v>
      </c>
      <c r="I68">
        <v>1798</v>
      </c>
      <c r="J68">
        <v>10</v>
      </c>
      <c r="K68" t="s">
        <v>22</v>
      </c>
      <c r="L68" t="s">
        <v>29</v>
      </c>
    </row>
    <row r="69" spans="1:13" x14ac:dyDescent="0.3">
      <c r="A69">
        <v>1069</v>
      </c>
      <c r="B69" s="1">
        <v>46061</v>
      </c>
      <c r="C69" t="s">
        <v>108</v>
      </c>
      <c r="D69" t="s">
        <v>14</v>
      </c>
      <c r="E69" t="s">
        <v>15</v>
      </c>
      <c r="F69" t="s">
        <v>16</v>
      </c>
      <c r="G69" t="s">
        <v>17</v>
      </c>
      <c r="H69">
        <v>6</v>
      </c>
      <c r="I69">
        <v>3099</v>
      </c>
      <c r="J69">
        <v>5</v>
      </c>
      <c r="K69" t="s">
        <v>28</v>
      </c>
      <c r="L69" t="s">
        <v>33</v>
      </c>
      <c r="M69" t="s">
        <v>20</v>
      </c>
    </row>
    <row r="70" spans="1:13" x14ac:dyDescent="0.3">
      <c r="A70">
        <v>1070</v>
      </c>
      <c r="B70" s="1">
        <v>46161</v>
      </c>
      <c r="C70" t="s">
        <v>109</v>
      </c>
      <c r="D70" t="s">
        <v>24</v>
      </c>
      <c r="E70" t="s">
        <v>15</v>
      </c>
      <c r="F70" t="s">
        <v>45</v>
      </c>
      <c r="G70" t="s">
        <v>46</v>
      </c>
      <c r="H70">
        <v>3</v>
      </c>
      <c r="I70">
        <v>1879</v>
      </c>
      <c r="J70">
        <v>10</v>
      </c>
      <c r="K70" t="s">
        <v>28</v>
      </c>
      <c r="L70" t="s">
        <v>29</v>
      </c>
      <c r="M70" t="s">
        <v>20</v>
      </c>
    </row>
    <row r="71" spans="1:13" x14ac:dyDescent="0.3">
      <c r="A71">
        <v>1071</v>
      </c>
      <c r="B71" s="1">
        <v>46029</v>
      </c>
      <c r="C71" t="s">
        <v>110</v>
      </c>
      <c r="D71" t="s">
        <v>14</v>
      </c>
      <c r="E71" t="s">
        <v>15</v>
      </c>
      <c r="F71" t="s">
        <v>16</v>
      </c>
      <c r="G71" t="s">
        <v>40</v>
      </c>
      <c r="H71">
        <v>9</v>
      </c>
      <c r="I71">
        <v>930</v>
      </c>
      <c r="J71">
        <v>0</v>
      </c>
      <c r="K71" t="s">
        <v>28</v>
      </c>
      <c r="L71" t="s">
        <v>29</v>
      </c>
      <c r="M71" t="s">
        <v>20</v>
      </c>
    </row>
    <row r="72" spans="1:13" x14ac:dyDescent="0.3">
      <c r="A72">
        <v>1072</v>
      </c>
      <c r="B72" s="1">
        <v>46181</v>
      </c>
      <c r="C72" t="s">
        <v>111</v>
      </c>
      <c r="D72" t="s">
        <v>43</v>
      </c>
      <c r="E72" t="s">
        <v>25</v>
      </c>
      <c r="F72" t="s">
        <v>32</v>
      </c>
      <c r="G72" t="s">
        <v>17</v>
      </c>
      <c r="H72">
        <v>6</v>
      </c>
      <c r="I72">
        <v>4713</v>
      </c>
      <c r="J72">
        <v>0</v>
      </c>
      <c r="K72" t="s">
        <v>28</v>
      </c>
      <c r="L72" t="s">
        <v>33</v>
      </c>
      <c r="M72" t="s">
        <v>20</v>
      </c>
    </row>
    <row r="73" spans="1:13" x14ac:dyDescent="0.3">
      <c r="A73">
        <v>1073</v>
      </c>
      <c r="B73" s="1">
        <v>46186</v>
      </c>
      <c r="C73" t="s">
        <v>112</v>
      </c>
      <c r="D73" t="s">
        <v>24</v>
      </c>
      <c r="E73" t="s">
        <v>25</v>
      </c>
      <c r="F73" t="s">
        <v>26</v>
      </c>
      <c r="G73" t="s">
        <v>17</v>
      </c>
      <c r="H73">
        <v>2</v>
      </c>
      <c r="I73">
        <v>3055</v>
      </c>
      <c r="J73">
        <v>5</v>
      </c>
      <c r="K73" t="s">
        <v>22</v>
      </c>
      <c r="L73" t="s">
        <v>29</v>
      </c>
      <c r="M73" t="s">
        <v>41</v>
      </c>
    </row>
    <row r="74" spans="1:13" x14ac:dyDescent="0.3">
      <c r="A74">
        <v>1074</v>
      </c>
      <c r="B74" s="1">
        <v>46180</v>
      </c>
      <c r="C74" t="s">
        <v>113</v>
      </c>
      <c r="D74" t="s">
        <v>35</v>
      </c>
      <c r="E74" t="s">
        <v>15</v>
      </c>
      <c r="F74" t="s">
        <v>16</v>
      </c>
      <c r="G74" t="s">
        <v>46</v>
      </c>
      <c r="H74">
        <v>5</v>
      </c>
      <c r="I74">
        <v>993</v>
      </c>
      <c r="J74">
        <v>5</v>
      </c>
      <c r="K74" t="s">
        <v>18</v>
      </c>
      <c r="L74" t="s">
        <v>33</v>
      </c>
      <c r="M74" t="s">
        <v>48</v>
      </c>
    </row>
    <row r="75" spans="1:13" x14ac:dyDescent="0.3">
      <c r="A75">
        <v>1075</v>
      </c>
      <c r="B75" s="1">
        <v>46110</v>
      </c>
      <c r="C75" t="s">
        <v>114</v>
      </c>
      <c r="D75" t="s">
        <v>14</v>
      </c>
      <c r="E75" t="s">
        <v>25</v>
      </c>
      <c r="F75" t="s">
        <v>26</v>
      </c>
      <c r="G75" t="s">
        <v>17</v>
      </c>
      <c r="H75">
        <v>2</v>
      </c>
      <c r="I75">
        <v>4128</v>
      </c>
      <c r="J75">
        <v>0</v>
      </c>
      <c r="K75" t="s">
        <v>18</v>
      </c>
      <c r="L75" t="s">
        <v>33</v>
      </c>
    </row>
    <row r="76" spans="1:13" x14ac:dyDescent="0.3">
      <c r="A76">
        <v>1076</v>
      </c>
      <c r="B76" s="1">
        <v>46193</v>
      </c>
      <c r="C76" t="s">
        <v>115</v>
      </c>
      <c r="D76" t="s">
        <v>31</v>
      </c>
      <c r="E76" t="s">
        <v>15</v>
      </c>
      <c r="F76" t="s">
        <v>16</v>
      </c>
      <c r="G76" t="s">
        <v>46</v>
      </c>
      <c r="H76">
        <v>4</v>
      </c>
      <c r="I76">
        <v>4162</v>
      </c>
      <c r="J76">
        <v>10</v>
      </c>
      <c r="K76" t="s">
        <v>22</v>
      </c>
      <c r="L76" t="s">
        <v>19</v>
      </c>
      <c r="M76" t="s">
        <v>41</v>
      </c>
    </row>
    <row r="77" spans="1:13" x14ac:dyDescent="0.3">
      <c r="A77">
        <v>1077</v>
      </c>
      <c r="B77" s="1">
        <v>46095</v>
      </c>
      <c r="C77" t="s">
        <v>116</v>
      </c>
      <c r="D77" t="s">
        <v>24</v>
      </c>
      <c r="E77" t="s">
        <v>15</v>
      </c>
      <c r="F77" t="s">
        <v>45</v>
      </c>
      <c r="G77" t="s">
        <v>27</v>
      </c>
      <c r="H77">
        <v>8</v>
      </c>
      <c r="I77">
        <v>3138</v>
      </c>
      <c r="J77">
        <v>0</v>
      </c>
      <c r="K77" t="s">
        <v>22</v>
      </c>
      <c r="L77" t="s">
        <v>29</v>
      </c>
      <c r="M77" t="s">
        <v>48</v>
      </c>
    </row>
    <row r="78" spans="1:13" x14ac:dyDescent="0.3">
      <c r="A78">
        <v>1078</v>
      </c>
      <c r="B78" s="1">
        <v>46194</v>
      </c>
      <c r="C78" t="s">
        <v>117</v>
      </c>
      <c r="D78" t="s">
        <v>24</v>
      </c>
      <c r="E78" t="s">
        <v>25</v>
      </c>
      <c r="F78" t="s">
        <v>26</v>
      </c>
      <c r="G78" t="s">
        <v>27</v>
      </c>
      <c r="H78">
        <v>3</v>
      </c>
      <c r="I78">
        <v>1393</v>
      </c>
      <c r="J78">
        <v>5</v>
      </c>
      <c r="K78" t="s">
        <v>28</v>
      </c>
      <c r="L78" t="s">
        <v>29</v>
      </c>
      <c r="M78" t="s">
        <v>48</v>
      </c>
    </row>
    <row r="79" spans="1:13" x14ac:dyDescent="0.3">
      <c r="A79">
        <v>1079</v>
      </c>
      <c r="B79" s="1">
        <v>46073</v>
      </c>
      <c r="C79" t="s">
        <v>118</v>
      </c>
      <c r="D79" t="s">
        <v>14</v>
      </c>
      <c r="E79" t="s">
        <v>25</v>
      </c>
      <c r="F79" t="s">
        <v>26</v>
      </c>
      <c r="G79" t="s">
        <v>46</v>
      </c>
      <c r="H79">
        <v>9</v>
      </c>
      <c r="I79">
        <v>4425</v>
      </c>
      <c r="J79">
        <v>0</v>
      </c>
      <c r="K79" t="s">
        <v>28</v>
      </c>
      <c r="L79" t="s">
        <v>19</v>
      </c>
      <c r="M79" t="s">
        <v>48</v>
      </c>
    </row>
    <row r="80" spans="1:13" x14ac:dyDescent="0.3">
      <c r="A80">
        <v>1080</v>
      </c>
      <c r="B80" s="1">
        <v>46131</v>
      </c>
      <c r="C80" t="s">
        <v>119</v>
      </c>
      <c r="D80" t="s">
        <v>43</v>
      </c>
      <c r="E80" t="s">
        <v>36</v>
      </c>
      <c r="F80" t="s">
        <v>39</v>
      </c>
      <c r="G80" t="s">
        <v>17</v>
      </c>
      <c r="H80">
        <v>4</v>
      </c>
      <c r="I80">
        <v>4656</v>
      </c>
      <c r="J80">
        <v>0</v>
      </c>
      <c r="K80" t="s">
        <v>22</v>
      </c>
      <c r="L80" t="s">
        <v>19</v>
      </c>
      <c r="M80" t="s">
        <v>48</v>
      </c>
    </row>
    <row r="81" spans="1:13" x14ac:dyDescent="0.3">
      <c r="A81">
        <v>1081</v>
      </c>
      <c r="B81" s="1">
        <v>46035</v>
      </c>
      <c r="C81" t="s">
        <v>120</v>
      </c>
      <c r="D81" t="s">
        <v>35</v>
      </c>
      <c r="E81" t="s">
        <v>36</v>
      </c>
      <c r="F81" t="s">
        <v>39</v>
      </c>
      <c r="G81" t="s">
        <v>17</v>
      </c>
      <c r="H81">
        <v>1</v>
      </c>
      <c r="I81">
        <v>1513</v>
      </c>
      <c r="J81">
        <v>0</v>
      </c>
      <c r="K81" t="s">
        <v>22</v>
      </c>
      <c r="L81" t="s">
        <v>29</v>
      </c>
      <c r="M81" t="s">
        <v>20</v>
      </c>
    </row>
    <row r="82" spans="1:13" x14ac:dyDescent="0.3">
      <c r="A82">
        <v>1082</v>
      </c>
      <c r="B82" s="1">
        <v>46111</v>
      </c>
      <c r="C82" t="s">
        <v>121</v>
      </c>
      <c r="D82" t="s">
        <v>31</v>
      </c>
      <c r="E82" t="s">
        <v>25</v>
      </c>
      <c r="F82" t="s">
        <v>26</v>
      </c>
      <c r="G82" t="s">
        <v>17</v>
      </c>
      <c r="H82">
        <v>10</v>
      </c>
      <c r="I82">
        <v>2508</v>
      </c>
      <c r="J82">
        <v>15</v>
      </c>
      <c r="K82" t="s">
        <v>28</v>
      </c>
      <c r="L82" t="s">
        <v>19</v>
      </c>
      <c r="M82" t="s">
        <v>48</v>
      </c>
    </row>
    <row r="83" spans="1:13" x14ac:dyDescent="0.3">
      <c r="A83">
        <v>1083</v>
      </c>
      <c r="B83" s="1">
        <v>46085</v>
      </c>
      <c r="C83" t="s">
        <v>122</v>
      </c>
      <c r="D83" t="s">
        <v>24</v>
      </c>
      <c r="E83" t="s">
        <v>36</v>
      </c>
      <c r="F83" t="s">
        <v>37</v>
      </c>
      <c r="G83" t="s">
        <v>40</v>
      </c>
      <c r="H83">
        <v>2</v>
      </c>
      <c r="I83">
        <v>2555</v>
      </c>
      <c r="J83">
        <v>0</v>
      </c>
      <c r="K83" t="s">
        <v>22</v>
      </c>
      <c r="L83" t="s">
        <v>19</v>
      </c>
    </row>
    <row r="84" spans="1:13" x14ac:dyDescent="0.3">
      <c r="A84">
        <v>1084</v>
      </c>
      <c r="B84" s="1">
        <v>46078</v>
      </c>
      <c r="C84" t="s">
        <v>123</v>
      </c>
      <c r="D84" t="s">
        <v>43</v>
      </c>
      <c r="E84" t="s">
        <v>36</v>
      </c>
      <c r="F84" t="s">
        <v>37</v>
      </c>
      <c r="G84" t="s">
        <v>27</v>
      </c>
      <c r="H84">
        <v>6</v>
      </c>
      <c r="I84">
        <v>3179</v>
      </c>
      <c r="J84">
        <v>5</v>
      </c>
      <c r="K84" t="s">
        <v>22</v>
      </c>
      <c r="L84" t="s">
        <v>29</v>
      </c>
      <c r="M84" t="s">
        <v>48</v>
      </c>
    </row>
    <row r="85" spans="1:13" x14ac:dyDescent="0.3">
      <c r="A85">
        <v>1085</v>
      </c>
      <c r="B85" s="1">
        <v>46082</v>
      </c>
      <c r="C85" t="s">
        <v>124</v>
      </c>
      <c r="D85" t="s">
        <v>35</v>
      </c>
      <c r="E85" t="s">
        <v>15</v>
      </c>
      <c r="F85" t="s">
        <v>45</v>
      </c>
      <c r="G85" t="s">
        <v>27</v>
      </c>
      <c r="H85">
        <v>3</v>
      </c>
      <c r="I85">
        <v>2462</v>
      </c>
      <c r="J85">
        <v>5</v>
      </c>
      <c r="K85" t="s">
        <v>22</v>
      </c>
      <c r="L85" t="s">
        <v>33</v>
      </c>
      <c r="M85" t="s">
        <v>41</v>
      </c>
    </row>
    <row r="86" spans="1:13" x14ac:dyDescent="0.3">
      <c r="A86">
        <v>1086</v>
      </c>
      <c r="B86" s="1">
        <v>46120</v>
      </c>
      <c r="C86" t="s">
        <v>125</v>
      </c>
      <c r="D86" t="s">
        <v>24</v>
      </c>
      <c r="E86" t="s">
        <v>36</v>
      </c>
      <c r="F86" t="s">
        <v>37</v>
      </c>
      <c r="G86" t="s">
        <v>40</v>
      </c>
      <c r="H86">
        <v>2</v>
      </c>
      <c r="I86">
        <v>4560</v>
      </c>
      <c r="J86">
        <v>0</v>
      </c>
      <c r="K86" t="s">
        <v>28</v>
      </c>
      <c r="L86" t="s">
        <v>29</v>
      </c>
      <c r="M86" t="s">
        <v>48</v>
      </c>
    </row>
    <row r="87" spans="1:13" x14ac:dyDescent="0.3">
      <c r="A87">
        <v>1087</v>
      </c>
      <c r="B87" s="1">
        <v>46028</v>
      </c>
      <c r="C87" t="s">
        <v>126</v>
      </c>
      <c r="D87" t="s">
        <v>14</v>
      </c>
      <c r="E87" t="s">
        <v>36</v>
      </c>
      <c r="F87" t="s">
        <v>54</v>
      </c>
      <c r="G87" t="s">
        <v>46</v>
      </c>
      <c r="H87">
        <v>6</v>
      </c>
      <c r="I87">
        <v>3102</v>
      </c>
      <c r="J87">
        <v>5</v>
      </c>
      <c r="K87" t="s">
        <v>22</v>
      </c>
      <c r="L87" t="s">
        <v>29</v>
      </c>
      <c r="M87" t="s">
        <v>48</v>
      </c>
    </row>
    <row r="88" spans="1:13" x14ac:dyDescent="0.3">
      <c r="A88">
        <v>1088</v>
      </c>
      <c r="B88" s="1">
        <v>46094</v>
      </c>
      <c r="C88" t="s">
        <v>127</v>
      </c>
      <c r="D88" t="s">
        <v>35</v>
      </c>
      <c r="E88" t="s">
        <v>25</v>
      </c>
      <c r="F88" t="s">
        <v>32</v>
      </c>
      <c r="G88" t="s">
        <v>46</v>
      </c>
      <c r="H88">
        <v>2</v>
      </c>
      <c r="I88">
        <v>3298</v>
      </c>
      <c r="J88">
        <v>0</v>
      </c>
      <c r="K88" t="s">
        <v>28</v>
      </c>
      <c r="L88" t="s">
        <v>29</v>
      </c>
    </row>
    <row r="89" spans="1:13" x14ac:dyDescent="0.3">
      <c r="A89">
        <v>1089</v>
      </c>
      <c r="B89" s="1">
        <v>46049</v>
      </c>
      <c r="C89" t="s">
        <v>128</v>
      </c>
      <c r="D89" t="s">
        <v>35</v>
      </c>
      <c r="E89" t="s">
        <v>15</v>
      </c>
      <c r="F89" t="s">
        <v>16</v>
      </c>
      <c r="G89" t="s">
        <v>46</v>
      </c>
      <c r="H89">
        <v>6</v>
      </c>
      <c r="I89">
        <v>2909</v>
      </c>
      <c r="J89">
        <v>15</v>
      </c>
      <c r="K89" t="s">
        <v>28</v>
      </c>
      <c r="L89" t="s">
        <v>19</v>
      </c>
      <c r="M89" t="s">
        <v>20</v>
      </c>
    </row>
    <row r="90" spans="1:13" x14ac:dyDescent="0.3">
      <c r="A90">
        <v>1090</v>
      </c>
      <c r="B90" s="1">
        <v>46088</v>
      </c>
      <c r="C90" t="s">
        <v>129</v>
      </c>
      <c r="D90" t="s">
        <v>31</v>
      </c>
      <c r="E90" t="s">
        <v>36</v>
      </c>
      <c r="F90" t="s">
        <v>54</v>
      </c>
      <c r="G90" t="s">
        <v>27</v>
      </c>
      <c r="H90">
        <v>1</v>
      </c>
      <c r="I90">
        <v>1957</v>
      </c>
      <c r="J90">
        <v>10</v>
      </c>
      <c r="K90" t="s">
        <v>22</v>
      </c>
      <c r="L90" t="s">
        <v>19</v>
      </c>
      <c r="M90" t="s">
        <v>41</v>
      </c>
    </row>
    <row r="91" spans="1:13" x14ac:dyDescent="0.3">
      <c r="A91">
        <v>1091</v>
      </c>
      <c r="B91" s="1">
        <v>46025</v>
      </c>
      <c r="C91" t="s">
        <v>130</v>
      </c>
      <c r="D91" t="s">
        <v>14</v>
      </c>
      <c r="E91" t="s">
        <v>15</v>
      </c>
      <c r="F91" t="s">
        <v>16</v>
      </c>
      <c r="G91" t="s">
        <v>17</v>
      </c>
      <c r="H91">
        <v>2</v>
      </c>
      <c r="I91">
        <v>1703</v>
      </c>
      <c r="J91">
        <v>10</v>
      </c>
      <c r="K91" t="s">
        <v>22</v>
      </c>
      <c r="L91" t="s">
        <v>19</v>
      </c>
    </row>
    <row r="92" spans="1:13" x14ac:dyDescent="0.3">
      <c r="A92">
        <v>1092</v>
      </c>
      <c r="B92" s="1">
        <v>46142</v>
      </c>
      <c r="C92" t="s">
        <v>131</v>
      </c>
      <c r="D92" t="s">
        <v>14</v>
      </c>
      <c r="E92" t="s">
        <v>15</v>
      </c>
      <c r="F92" t="s">
        <v>16</v>
      </c>
      <c r="G92" t="s">
        <v>46</v>
      </c>
      <c r="H92">
        <v>7</v>
      </c>
      <c r="I92">
        <v>1418</v>
      </c>
      <c r="J92">
        <v>5</v>
      </c>
      <c r="K92" t="s">
        <v>22</v>
      </c>
      <c r="L92" t="s">
        <v>33</v>
      </c>
    </row>
    <row r="93" spans="1:13" x14ac:dyDescent="0.3">
      <c r="A93">
        <v>1093</v>
      </c>
      <c r="B93" s="1">
        <v>46122</v>
      </c>
      <c r="C93" t="s">
        <v>132</v>
      </c>
      <c r="D93" t="s">
        <v>35</v>
      </c>
      <c r="E93" t="s">
        <v>15</v>
      </c>
      <c r="F93" t="s">
        <v>45</v>
      </c>
      <c r="G93" t="s">
        <v>17</v>
      </c>
      <c r="H93">
        <v>5</v>
      </c>
      <c r="I93">
        <v>4271</v>
      </c>
      <c r="J93">
        <v>0</v>
      </c>
      <c r="K93" t="s">
        <v>22</v>
      </c>
      <c r="L93" t="s">
        <v>29</v>
      </c>
      <c r="M93" t="s">
        <v>41</v>
      </c>
    </row>
    <row r="94" spans="1:13" x14ac:dyDescent="0.3">
      <c r="A94">
        <v>1094</v>
      </c>
      <c r="B94" s="1">
        <v>46148</v>
      </c>
      <c r="C94" t="s">
        <v>133</v>
      </c>
      <c r="D94" t="s">
        <v>35</v>
      </c>
      <c r="E94" t="s">
        <v>36</v>
      </c>
      <c r="F94" t="s">
        <v>37</v>
      </c>
      <c r="G94" t="s">
        <v>17</v>
      </c>
      <c r="H94">
        <v>1</v>
      </c>
      <c r="I94">
        <v>666</v>
      </c>
      <c r="J94">
        <v>15</v>
      </c>
      <c r="K94" t="s">
        <v>22</v>
      </c>
      <c r="L94" t="s">
        <v>29</v>
      </c>
      <c r="M94" t="s">
        <v>20</v>
      </c>
    </row>
    <row r="95" spans="1:13" x14ac:dyDescent="0.3">
      <c r="A95">
        <v>1095</v>
      </c>
      <c r="B95" s="1">
        <v>46124</v>
      </c>
      <c r="C95" t="s">
        <v>134</v>
      </c>
      <c r="D95" t="s">
        <v>14</v>
      </c>
      <c r="E95" t="s">
        <v>25</v>
      </c>
      <c r="F95" t="s">
        <v>26</v>
      </c>
      <c r="G95" t="s">
        <v>46</v>
      </c>
      <c r="H95">
        <v>6</v>
      </c>
      <c r="I95">
        <v>2059</v>
      </c>
      <c r="J95">
        <v>5</v>
      </c>
      <c r="K95" t="s">
        <v>28</v>
      </c>
      <c r="L95" t="s">
        <v>29</v>
      </c>
      <c r="M95" t="s">
        <v>20</v>
      </c>
    </row>
    <row r="96" spans="1:13" x14ac:dyDescent="0.3">
      <c r="A96">
        <v>1096</v>
      </c>
      <c r="B96" s="1">
        <v>46138</v>
      </c>
      <c r="C96" t="s">
        <v>135</v>
      </c>
      <c r="D96" t="s">
        <v>43</v>
      </c>
      <c r="E96" t="s">
        <v>15</v>
      </c>
      <c r="F96" t="s">
        <v>16</v>
      </c>
      <c r="G96" t="s">
        <v>17</v>
      </c>
      <c r="H96">
        <v>4</v>
      </c>
      <c r="I96">
        <v>1564</v>
      </c>
      <c r="J96">
        <v>0</v>
      </c>
      <c r="K96" t="s">
        <v>28</v>
      </c>
      <c r="L96" t="s">
        <v>33</v>
      </c>
      <c r="M96" t="s">
        <v>41</v>
      </c>
    </row>
    <row r="97" spans="1:13" x14ac:dyDescent="0.3">
      <c r="A97">
        <v>1097</v>
      </c>
      <c r="B97" s="1">
        <v>46166</v>
      </c>
      <c r="C97" t="s">
        <v>136</v>
      </c>
      <c r="D97" t="s">
        <v>14</v>
      </c>
      <c r="E97" t="s">
        <v>15</v>
      </c>
      <c r="F97" t="s">
        <v>16</v>
      </c>
      <c r="G97" t="s">
        <v>40</v>
      </c>
      <c r="H97">
        <v>10</v>
      </c>
      <c r="I97">
        <v>1447</v>
      </c>
      <c r="J97">
        <v>5</v>
      </c>
      <c r="K97" t="s">
        <v>28</v>
      </c>
      <c r="L97" t="s">
        <v>33</v>
      </c>
      <c r="M97" t="s">
        <v>20</v>
      </c>
    </row>
    <row r="98" spans="1:13" x14ac:dyDescent="0.3">
      <c r="A98">
        <v>1098</v>
      </c>
      <c r="B98" s="1">
        <v>46094</v>
      </c>
      <c r="C98" t="s">
        <v>137</v>
      </c>
      <c r="D98" t="s">
        <v>31</v>
      </c>
      <c r="E98" t="s">
        <v>15</v>
      </c>
      <c r="F98" t="s">
        <v>45</v>
      </c>
      <c r="G98" t="s">
        <v>40</v>
      </c>
      <c r="H98">
        <v>7</v>
      </c>
      <c r="I98">
        <v>3739</v>
      </c>
      <c r="J98">
        <v>0</v>
      </c>
      <c r="K98" t="s">
        <v>22</v>
      </c>
      <c r="L98" t="s">
        <v>29</v>
      </c>
      <c r="M98" t="s">
        <v>20</v>
      </c>
    </row>
    <row r="99" spans="1:13" x14ac:dyDescent="0.3">
      <c r="A99">
        <v>1099</v>
      </c>
      <c r="B99" s="1">
        <v>46072</v>
      </c>
      <c r="C99" t="s">
        <v>138</v>
      </c>
      <c r="D99" t="s">
        <v>31</v>
      </c>
      <c r="E99" t="s">
        <v>25</v>
      </c>
      <c r="F99" t="s">
        <v>26</v>
      </c>
      <c r="G99" t="s">
        <v>46</v>
      </c>
      <c r="H99">
        <v>1</v>
      </c>
      <c r="I99">
        <v>4096</v>
      </c>
      <c r="J99">
        <v>10</v>
      </c>
      <c r="K99" t="s">
        <v>18</v>
      </c>
      <c r="L99" t="s">
        <v>29</v>
      </c>
      <c r="M99" t="s">
        <v>48</v>
      </c>
    </row>
    <row r="100" spans="1:13" x14ac:dyDescent="0.3">
      <c r="A100">
        <v>1100</v>
      </c>
      <c r="B100" s="1">
        <v>46059</v>
      </c>
      <c r="C100" t="s">
        <v>139</v>
      </c>
      <c r="D100" t="s">
        <v>14</v>
      </c>
      <c r="E100" t="s">
        <v>25</v>
      </c>
      <c r="F100" t="s">
        <v>26</v>
      </c>
      <c r="G100" t="s">
        <v>40</v>
      </c>
      <c r="H100">
        <v>8</v>
      </c>
      <c r="I100">
        <v>3693</v>
      </c>
      <c r="J100">
        <v>10</v>
      </c>
      <c r="K100" t="s">
        <v>28</v>
      </c>
      <c r="L100" t="s">
        <v>19</v>
      </c>
      <c r="M100" t="s">
        <v>41</v>
      </c>
    </row>
    <row r="101" spans="1:13" x14ac:dyDescent="0.3">
      <c r="A101">
        <v>1101</v>
      </c>
      <c r="B101" s="1">
        <v>46151</v>
      </c>
      <c r="C101" t="s">
        <v>140</v>
      </c>
      <c r="D101" t="s">
        <v>31</v>
      </c>
      <c r="E101" t="s">
        <v>15</v>
      </c>
      <c r="F101" t="s">
        <v>16</v>
      </c>
      <c r="G101" t="s">
        <v>40</v>
      </c>
      <c r="H101">
        <v>1</v>
      </c>
      <c r="I101">
        <v>3604</v>
      </c>
      <c r="J101">
        <v>10</v>
      </c>
      <c r="K101" t="s">
        <v>18</v>
      </c>
      <c r="L101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53A92-73E4-4BDC-A4B4-D73872048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dash board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hpneha796@gmail.com</cp:lastModifiedBy>
  <dcterms:created xsi:type="dcterms:W3CDTF">2026-08-04T08:16:15Z</dcterms:created>
  <dcterms:modified xsi:type="dcterms:W3CDTF">2026-08-05T11:38:31Z</dcterms:modified>
</cp:coreProperties>
</file>