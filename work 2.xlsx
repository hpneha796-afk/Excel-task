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d845110659ced0/Documents/"/>
    </mc:Choice>
  </mc:AlternateContent>
  <xr:revisionPtr revIDLastSave="85" documentId="8_{1667D31A-2315-422B-B4D4-3A5979BC9ADD}" xr6:coauthVersionLast="47" xr6:coauthVersionMax="47" xr10:uidLastSave="{D56D0C98-0E4B-40AD-ADB4-A473A5639784}"/>
  <bookViews>
    <workbookView xWindow="-108" yWindow="-108" windowWidth="23256" windowHeight="12456" activeTab="1" xr2:uid="{00000000-000D-0000-FFFF-FFFF00000000}"/>
  </bookViews>
  <sheets>
    <sheet name="Tasks" sheetId="2" r:id="rId1"/>
    <sheet name="Electronics Store Sales" sheetId="1" r:id="rId2"/>
    <sheet name="Sheet1" sheetId="3" r:id="rId3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H29" i="1"/>
  <c r="L26" i="1"/>
  <c r="L20" i="1"/>
  <c r="L19" i="1"/>
  <c r="I21" i="1"/>
  <c r="I2" i="1"/>
  <c r="M2" i="1" s="1"/>
  <c r="I10" i="1"/>
  <c r="M10" i="1" s="1"/>
  <c r="I17" i="1"/>
  <c r="N17" i="1" s="1"/>
  <c r="J15" i="1"/>
  <c r="I15" i="1" s="1"/>
  <c r="N15" i="1" s="1"/>
  <c r="J16" i="1"/>
  <c r="I16" i="1" s="1"/>
  <c r="N16" i="1" s="1"/>
  <c r="J7" i="1"/>
  <c r="I7" i="1" s="1"/>
  <c r="N7" i="1" s="1"/>
  <c r="J5" i="1"/>
  <c r="I5" i="1" s="1"/>
  <c r="N5" i="1" s="1"/>
  <c r="J8" i="1"/>
  <c r="I8" i="1" s="1"/>
  <c r="M8" i="1" s="1"/>
  <c r="J13" i="1"/>
  <c r="I13" i="1" s="1"/>
  <c r="M13" i="1" s="1"/>
  <c r="J4" i="1"/>
  <c r="I4" i="1" s="1"/>
  <c r="M4" i="1" s="1"/>
  <c r="J14" i="1"/>
  <c r="I14" i="1" s="1"/>
  <c r="J9" i="1"/>
  <c r="I9" i="1" s="1"/>
  <c r="N9" i="1" s="1"/>
  <c r="J11" i="1"/>
  <c r="I11" i="1" s="1"/>
  <c r="J6" i="1"/>
  <c r="I6" i="1" s="1"/>
  <c r="J12" i="1"/>
  <c r="I12" i="1" s="1"/>
  <c r="N12" i="1" s="1"/>
  <c r="J2" i="1"/>
  <c r="J10" i="1"/>
  <c r="J3" i="1"/>
  <c r="I3" i="1" s="1"/>
  <c r="N3" i="1" s="1"/>
  <c r="L15" i="1"/>
  <c r="L16" i="1"/>
  <c r="L7" i="1"/>
  <c r="L5" i="1"/>
  <c r="L8" i="1"/>
  <c r="L13" i="1"/>
  <c r="L4" i="1"/>
  <c r="L14" i="1"/>
  <c r="L9" i="1"/>
  <c r="L11" i="1"/>
  <c r="L6" i="1"/>
  <c r="L12" i="1"/>
  <c r="L2" i="1"/>
  <c r="L10" i="1"/>
  <c r="L17" i="1"/>
  <c r="M14" i="1" l="1"/>
  <c r="N8" i="1"/>
  <c r="M6" i="1"/>
  <c r="N6" i="1"/>
  <c r="N14" i="1"/>
  <c r="N13" i="1"/>
  <c r="M11" i="1"/>
  <c r="N11" i="1"/>
  <c r="N4" i="1"/>
  <c r="N10" i="1"/>
  <c r="N2" i="1"/>
  <c r="H27" i="1"/>
  <c r="M7" i="1"/>
  <c r="M16" i="1"/>
  <c r="L25" i="1"/>
  <c r="H30" i="1"/>
  <c r="M9" i="1"/>
  <c r="M15" i="1"/>
  <c r="L21" i="1"/>
  <c r="M12" i="1"/>
  <c r="M5" i="1"/>
  <c r="H28" i="1"/>
  <c r="I24" i="1"/>
  <c r="I23" i="1"/>
  <c r="I22" i="1"/>
  <c r="L23" i="1"/>
  <c r="M3" i="1"/>
  <c r="I20" i="1"/>
  <c r="M17" i="1"/>
  <c r="L22" i="1"/>
  <c r="L24" i="1"/>
  <c r="E29" i="1"/>
  <c r="E2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<sst xmlns="http://schemas.openxmlformats.org/spreadsheetml/2006/main" count="166" uniqueCount="113">
  <si>
    <t>Invoice ID</t>
  </si>
  <si>
    <t>Date</t>
  </si>
  <si>
    <t>Salesperson</t>
  </si>
  <si>
    <t>Region</t>
  </si>
  <si>
    <t>Product</t>
  </si>
  <si>
    <t>Category</t>
  </si>
  <si>
    <t>Quantity</t>
  </si>
  <si>
    <t>Unit Price (₹)</t>
  </si>
  <si>
    <t>INV001</t>
  </si>
  <si>
    <t>01-Jan-2026</t>
  </si>
  <si>
    <t>Rahul</t>
  </si>
  <si>
    <t>North</t>
  </si>
  <si>
    <t>Laptop</t>
  </si>
  <si>
    <t>Electronics</t>
  </si>
  <si>
    <t>INV002</t>
  </si>
  <si>
    <t>Aisha</t>
  </si>
  <si>
    <t>South</t>
  </si>
  <si>
    <t>Mouse</t>
  </si>
  <si>
    <t>Accessories</t>
  </si>
  <si>
    <t>INV003</t>
  </si>
  <si>
    <t>02-Jan-2026</t>
  </si>
  <si>
    <t>East</t>
  </si>
  <si>
    <t>Keyboard</t>
  </si>
  <si>
    <t>INV004</t>
  </si>
  <si>
    <t>Neha</t>
  </si>
  <si>
    <t>West</t>
  </si>
  <si>
    <t>Monitor</t>
  </si>
  <si>
    <t>INV005</t>
  </si>
  <si>
    <t>03-Jan-2026</t>
  </si>
  <si>
    <t>INV006</t>
  </si>
  <si>
    <t>David</t>
  </si>
  <si>
    <t>Printer</t>
  </si>
  <si>
    <t>INV007</t>
  </si>
  <si>
    <t>04-Jan-2026</t>
  </si>
  <si>
    <t>INV008</t>
  </si>
  <si>
    <t>INV009</t>
  </si>
  <si>
    <t>05-Jan-2026</t>
  </si>
  <si>
    <t>INV010</t>
  </si>
  <si>
    <t>INV011</t>
  </si>
  <si>
    <t>06-Jan-2026</t>
  </si>
  <si>
    <t>INV012</t>
  </si>
  <si>
    <t>INV013</t>
  </si>
  <si>
    <t>07-Jan-2026</t>
  </si>
  <si>
    <t>INV014</t>
  </si>
  <si>
    <t>INV015</t>
  </si>
  <si>
    <t>08-Jan-2026</t>
  </si>
  <si>
    <t>SECTION A - Sales Calculations</t>
  </si>
  <si>
    <t>1. Calculate the total amount for every invoice.</t>
  </si>
  <si>
    <t>2. Increase the unit price of every product by ₹500 and calculate the revised total amount.</t>
  </si>
  <si>
    <t>3. Find the increase in revenue for each invoice.</t>
  </si>
  <si>
    <t>SECTION B - Business Analysis</t>
  </si>
  <si>
    <t>1. Find the total revenue generated by the store.</t>
  </si>
  <si>
    <t>2. Find the total number of products sold.</t>
  </si>
  <si>
    <t>3. Calculate the average revenue per invoice.</t>
  </si>
  <si>
    <t>4. Identify the highest invoice amount.</t>
  </si>
  <si>
    <t>5. Identify the lowest invoice amount.</t>
  </si>
  <si>
    <t>SECTION C - Product Insights</t>
  </si>
  <si>
    <t>1. How many times was the Laptop sold?</t>
  </si>
  <si>
    <t>2. How many times was the Mouse sold?</t>
  </si>
  <si>
    <t>3. What is the total revenue generated from Laptop sales?</t>
  </si>
  <si>
    <t>4. What is the average revenue generated from Monitor sales?</t>
  </si>
  <si>
    <t>SECTION D - Salesperson Performance</t>
  </si>
  <si>
    <t>1. Find the total revenue generated by Rahul.</t>
  </si>
  <si>
    <t>2. Find the total revenue generated by Aisha.</t>
  </si>
  <si>
    <t>3. Calculate the average invoice value for Neha.</t>
  </si>
  <si>
    <t>4. Count the number of invoices handled by David.</t>
  </si>
  <si>
    <t>SECTION E - Regional Performance</t>
  </si>
  <si>
    <t>1. Find the total revenue generated in the North region.</t>
  </si>
  <si>
    <t>2. Find the average revenue generated in the South region.</t>
  </si>
  <si>
    <t>3. Count the number of invoices from the East region.</t>
  </si>
  <si>
    <t>4. Identify the region with the highest revenue.</t>
  </si>
  <si>
    <t>SECTION F - Data Management</t>
  </si>
  <si>
    <t>1. Sort the records by Total Amount (Highest to Lowest).</t>
  </si>
  <si>
    <t>2. Display only Electronics products.</t>
  </si>
  <si>
    <t>3. Display only invoices handled by Rahul.</t>
  </si>
  <si>
    <t>4. Highlight invoice amounts greater than ₹50,000.</t>
  </si>
  <si>
    <t>5. Convert the data into an Excel Table.</t>
  </si>
  <si>
    <t>6. Create a column chart showing revenue by product.</t>
  </si>
  <si>
    <t>Column1</t>
  </si>
  <si>
    <t>total amt</t>
  </si>
  <si>
    <t>revised UP</t>
  </si>
  <si>
    <t>increased sum</t>
  </si>
  <si>
    <t>revised total</t>
  </si>
  <si>
    <t>total revenue</t>
  </si>
  <si>
    <t>total num product</t>
  </si>
  <si>
    <t>average revenue</t>
  </si>
  <si>
    <t>highest invoice</t>
  </si>
  <si>
    <t>west invoice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</si>
  <si>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</si>
  <si>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</si>
  <si>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</si>
  <si>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</si>
  <si>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</si>
  <si>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</si>
  <si>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</si>
  <si>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</si>
  <si>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</si>
  <si>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d1</t>
  </si>
  <si>
    <t>d2</t>
  </si>
  <si>
    <t>d3</t>
  </si>
  <si>
    <t>d4</t>
  </si>
  <si>
    <t>Column2</t>
  </si>
  <si>
    <t>Column3</t>
  </si>
  <si>
    <t>E1</t>
  </si>
  <si>
    <t>E2</t>
  </si>
  <si>
    <t>E3</t>
  </si>
  <si>
    <t>E4</t>
  </si>
  <si>
    <t>sales category</t>
  </si>
  <si>
    <t>bulk order</t>
  </si>
  <si>
    <t>catrgary</t>
  </si>
  <si>
    <t>extraordinary</t>
  </si>
  <si>
    <t>mark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</si>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</sst>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D03E7-E54A-4490-876F-26CBB2838DA0}" name="Table1" displayName="Table1" ref="A1:Q17" totalsRowShown="0">
  <autoFilter ref="A1:Q17" xr:uid="{491D03E7-E54A-4490-876F-26CBB2838DA0}"/>
  <sortState xmlns:xlrd2="http://schemas.microsoft.com/office/spreadsheetml/2017/richdata2" ref="A2:P17">
    <sortCondition descending="1" ref="L1:L17"/>
  </sortState>
  <tableColumns count="17">
    <tableColumn id="1" xr3:uid="{FE6906B4-F4EB-4B96-946C-A251992A5CA7}" name="Invoice ID"/>
    <tableColumn id="2" xr3:uid="{A35CBAA7-A7F5-4D6F-AE69-381F4FA65BC5}" name="Date"/>
    <tableColumn id="3" xr3:uid="{517A1CA0-4109-4F1C-92A6-DBA8ECCA036A}" name="Salesperson"/>
    <tableColumn id="4" xr3:uid="{216980C7-BD4F-40EE-8768-84D8F0F32515}" name="Region"/>
    <tableColumn id="15" xr3:uid="{A0B3B878-808C-4B35-B086-475421966BA6}" name="catrgary" dataDxfId="11">
      <calculatedColumnFormula>IF(OR(Table1[[#This Row],[Product]]="laptop",Table1[[#This Row],[Product]]="monitor"),"premium","normal")</calculatedColumnFormula>
    </tableColumn>
    <tableColumn id="5" xr3:uid="{C0EA8185-DD00-49D3-B35D-4038CDBC90BA}" name="Product"/>
    <tableColumn id="6" xr3:uid="{0F0D4242-E230-418A-9FF7-4A93E4D086E6}" name="Category"/>
    <tableColumn id="7" xr3:uid="{374F7319-D5E2-4399-9D33-15C86A747420}" name="Quantity"/>
    <tableColumn id="11" xr3:uid="{6CB7E824-2F20-476C-8548-8B36DBC69D21}" name="revised total" dataDxfId="10">
      <calculatedColumnFormula>SUM(Table1[[#This Row],[revised UP]]*Table1[[#This Row],[Quantity]])</calculatedColumnFormula>
    </tableColumn>
    <tableColumn id="10" xr3:uid="{0878F8D5-ED04-4312-A9CA-299078B422EA}" name="revised UP" dataDxfId="9">
      <calculatedColumnFormula>SUM(K2:R3)</calculatedColumnFormula>
    </tableColumn>
    <tableColumn id="8" xr3:uid="{6DD30998-2C92-4F10-917A-256F2E02AF89}" name="Unit Price (₹)"/>
    <tableColumn id="9" xr3:uid="{811014EE-5373-4C45-B26D-B6DB9BAAC4A6}" name="total amt" dataDxfId="8">
      <calculatedColumnFormula>SUM(Table1[[#This Row],[Unit Price (₹)]]*Table1[[#This Row],[Quantity]])</calculatedColumnFormula>
    </tableColumn>
    <tableColumn id="12" xr3:uid="{30E24B00-81C0-4889-858A-E4538C94026A}" name="increased sum" dataDxfId="7">
      <calculatedColumnFormula>Table1[[#This Row],[total amt]]-Table1[[#This Row],[revised total]]</calculatedColumnFormula>
    </tableColumn>
    <tableColumn id="13" xr3:uid="{A767D87A-B047-4BB9-80F8-CF93DD3793AD}" name="sales category" dataDxfId="6">
      <calculatedColumnFormula>IF(Table1[[#This Row],[revised total]]&gt;=60000,"highvalue","low value")</calculatedColumnFormula>
    </tableColumn>
    <tableColumn id="16" xr3:uid="{00BBEA2B-2377-4D26-88C6-E781F39923D4}" name="Column1" dataDxfId="5">
      <calculatedColumnFormula>IF(OR(Table1[[#This Row],[Product]]="laptop",Table1[[#This Row],[Product]]="monitor"),"premium","normal")</calculatedColumnFormula>
    </tableColumn>
    <tableColumn id="14" xr3:uid="{C8390AE3-5844-48DA-ADCB-D99644D88F64}" name="bulk order" dataDxfId="4">
      <calculatedColumnFormula>IF(Table1[[#This Row],[Quantity]]&gt;5,"yes","no")</calculatedColumnFormula>
    </tableColumn>
    <tableColumn id="17" xr3:uid="{DC2A03E8-A687-4246-8B3E-D4A8B1B5EC47}" name="extraordinary" dataDxfId="3">
      <calculatedColumnFormula>IF(AND(Table1[[#This Row],[bulk order]]="yes",Table1[[#This Row],[Column1]]="premium"),"yes","no")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4DEDC-95A2-42C9-B228-0568ACFD82BC}" name="Table2" displayName="Table2" ref="G18:I24" totalsRowShown="0">
  <autoFilter ref="G18:I24" xr:uid="{0934DEDC-95A2-42C9-B228-0568ACFD82BC}"/>
  <tableColumns count="3">
    <tableColumn id="1" xr3:uid="{6DC2FAE9-0A3A-4CC6-B321-9257C5A134FB}" name="Column1"/>
    <tableColumn id="2" xr3:uid="{8479E0DE-C767-463D-BE8E-7F674B9416C2}" name="Column2"/>
    <tableColumn id="3" xr3:uid="{BF367C1B-4035-4ECC-B7E2-70A08C84FBCC}" name="Column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129E71-688B-44A7-A637-05807AC611C1}" name="Table3" displayName="Table3" ref="A1:B6" totalsRowShown="0">
  <autoFilter ref="A1:B6" xr:uid="{56129E71-688B-44A7-A637-05807AC611C1}"/>
  <tableColumns count="2">
    <tableColumn id="1" xr3:uid="{DA344D1C-2ED8-4FEC-AE5D-03905B81DF0E}" name="mark"/>
    <tableColumn id="2" xr3:uid="{88C41E17-1409-4B2E-8448-9A8B41231431}" name="grade" dataDxfId="2">
      <calculatedColumnFormula>IF(Table3[[#This Row],[mark]]&gt;=90,"A",IF(Table3[[#This Row],[mark]]&gt;=80,"B",IF(Table3[[#This Row],[mark]]&gt;=70,"C",IF(Table3[[#This Row],[mark]]&gt;=60,"D","FAIL"))))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topLeftCell="A13" workbookViewId="0"/>
  </sheetViews>
  <sheetFormatPr defaultRowHeight="14.4" x14ac:dyDescent="0.3"/>
  <sheetData>
    <row r="1" spans="1:1" x14ac:dyDescent="0.3">
      <c r="A1" t="s">
        <v>46</v>
      </c>
    </row>
    <row r="2" spans="1:1" x14ac:dyDescent="0.3">
      <c r="A2" t="s">
        <v>47</v>
      </c>
    </row>
    <row r="3" spans="1:1" x14ac:dyDescent="0.3">
      <c r="A3" t="s">
        <v>48</v>
      </c>
    </row>
    <row r="4" spans="1:1" x14ac:dyDescent="0.3">
      <c r="A4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3" spans="1:1" x14ac:dyDescent="0.3">
      <c r="A13" t="s">
        <v>56</v>
      </c>
    </row>
    <row r="14" spans="1:1" x14ac:dyDescent="0.3">
      <c r="A14" t="s">
        <v>57</v>
      </c>
    </row>
    <row r="15" spans="1:1" x14ac:dyDescent="0.3">
      <c r="A15" t="s">
        <v>58</v>
      </c>
    </row>
    <row r="16" spans="1:1" x14ac:dyDescent="0.3">
      <c r="A16" t="s">
        <v>59</v>
      </c>
    </row>
    <row r="17" spans="1:1" x14ac:dyDescent="0.3">
      <c r="A17" t="s">
        <v>60</v>
      </c>
    </row>
    <row r="19" spans="1:1" x14ac:dyDescent="0.3">
      <c r="A19" t="s">
        <v>61</v>
      </c>
    </row>
    <row r="20" spans="1:1" x14ac:dyDescent="0.3">
      <c r="A20" t="s">
        <v>62</v>
      </c>
    </row>
    <row r="21" spans="1:1" x14ac:dyDescent="0.3">
      <c r="A21" t="s">
        <v>63</v>
      </c>
    </row>
    <row r="22" spans="1:1" x14ac:dyDescent="0.3">
      <c r="A22" t="s">
        <v>64</v>
      </c>
    </row>
    <row r="23" spans="1:1" x14ac:dyDescent="0.3">
      <c r="A23" t="s">
        <v>65</v>
      </c>
    </row>
    <row r="25" spans="1:1" x14ac:dyDescent="0.3">
      <c r="A25" t="s">
        <v>66</v>
      </c>
    </row>
    <row r="26" spans="1:1" x14ac:dyDescent="0.3">
      <c r="A26" t="s">
        <v>67</v>
      </c>
    </row>
    <row r="27" spans="1:1" x14ac:dyDescent="0.3">
      <c r="A27" t="s">
        <v>68</v>
      </c>
    </row>
    <row r="28" spans="1:1" x14ac:dyDescent="0.3">
      <c r="A28" t="s">
        <v>69</v>
      </c>
    </row>
    <row r="29" spans="1:1" x14ac:dyDescent="0.3">
      <c r="A29" t="s">
        <v>70</v>
      </c>
    </row>
    <row r="31" spans="1:1" x14ac:dyDescent="0.3">
      <c r="A31" t="s">
        <v>71</v>
      </c>
    </row>
    <row r="32" spans="1:1" x14ac:dyDescent="0.3">
      <c r="A32" t="s">
        <v>72</v>
      </c>
    </row>
    <row r="33" spans="1:1" x14ac:dyDescent="0.3">
      <c r="A33" t="s">
        <v>73</v>
      </c>
    </row>
    <row r="34" spans="1:1" x14ac:dyDescent="0.3">
      <c r="A34" t="s">
        <v>74</v>
      </c>
    </row>
    <row r="35" spans="1:1" x14ac:dyDescent="0.3">
      <c r="A35" t="s">
        <v>75</v>
      </c>
    </row>
    <row r="36" spans="1:1" x14ac:dyDescent="0.3">
      <c r="A36" t="s">
        <v>76</v>
      </c>
    </row>
    <row r="37" spans="1:1" x14ac:dyDescent="0.3">
      <c r="A37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zoomScale="65" zoomScaleNormal="65" workbookViewId="0">
      <selection activeCell="L2" sqref="L2:L16"/>
    </sheetView>
  </sheetViews>
  <sheetFormatPr defaultRowHeight="14.4" x14ac:dyDescent="0.3"/>
  <cols>
    <col min="1" max="1" width="10.44140625" customWidth="1"/>
    <col min="2" max="2" width="12.33203125" customWidth="1"/>
    <col min="3" max="3" width="12.109375" customWidth="1"/>
    <col min="4" max="4" width="9.6640625" customWidth="1"/>
    <col min="5" max="5" width="31" customWidth="1"/>
    <col min="6" max="6" width="22.6640625" customWidth="1"/>
    <col min="7" max="7" width="10.6640625" customWidth="1"/>
    <col min="8" max="8" width="17.6640625" customWidth="1"/>
    <col min="9" max="9" width="19.33203125" customWidth="1"/>
    <col min="10" max="10" width="23.21875" customWidth="1"/>
    <col min="11" max="11" width="16.88671875" customWidth="1"/>
    <col min="12" max="12" width="26.44140625" customWidth="1"/>
    <col min="13" max="13" width="22.33203125" customWidth="1"/>
    <col min="14" max="14" width="19.109375" customWidth="1"/>
    <col min="15" max="15" width="16.21875" customWidth="1"/>
    <col min="17" max="17" width="14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109</v>
      </c>
      <c r="F1" t="s">
        <v>4</v>
      </c>
      <c r="G1" t="s">
        <v>5</v>
      </c>
      <c r="H1" t="s">
        <v>6</v>
      </c>
      <c r="I1" t="s">
        <v>82</v>
      </c>
      <c r="J1" t="s">
        <v>80</v>
      </c>
      <c r="K1" t="s">
        <v>7</v>
      </c>
      <c r="L1" t="s">
        <v>79</v>
      </c>
      <c r="M1" t="s">
        <v>81</v>
      </c>
      <c r="N1" t="s">
        <v>107</v>
      </c>
      <c r="O1" t="s">
        <v>78</v>
      </c>
      <c r="P1" t="s">
        <v>108</v>
      </c>
      <c r="Q1" t="s">
        <v>110</v>
      </c>
    </row>
    <row r="2" spans="1:17" x14ac:dyDescent="0.3">
      <c r="A2" t="s">
        <v>43</v>
      </c>
      <c r="B2" t="s">
        <v>42</v>
      </c>
      <c r="C2" t="s">
        <v>15</v>
      </c>
      <c r="D2" t="s">
        <v>21</v>
      </c>
      <c r="E2" t="str">
        <f>IF(OR(Table1[[#This Row],[Product]]="laptop",Table1[[#This Row],[Product]]="monitor"),"premium","normal")</f>
        <v>premium</v>
      </c>
      <c r="F2" t="s">
        <v>12</v>
      </c>
      <c r="G2" t="s">
        <v>13</v>
      </c>
      <c r="H2">
        <v>3</v>
      </c>
      <c r="I2">
        <f>SUM(Table1[[#This Row],[revised UP]]*Table1[[#This Row],[Quantity]])</f>
        <v>166500</v>
      </c>
      <c r="J2">
        <f>SUM(Table1[[#This Row],[Unit Price (₹)]]+500)</f>
        <v>55500</v>
      </c>
      <c r="K2">
        <v>55000</v>
      </c>
      <c r="L2">
        <f>SUM(Table1[[#This Row],[Unit Price (₹)]]*Table1[[#This Row],[Quantity]])</f>
        <v>165000</v>
      </c>
      <c r="M2">
        <f>Table1[[#This Row],[revised total]]-Table1[[#This Row],[total amt]]</f>
        <v>1500</v>
      </c>
      <c r="N2" t="str">
        <f>IF(Table1[[#This Row],[revised total]]&gt;=60000,"highvalue","low value")</f>
        <v>highvalue</v>
      </c>
      <c r="O2" t="str">
        <f>IF(OR(Table1[[#This Row],[Product]]="laptop",Table1[[#This Row],[Product]]="monitor"),"premium","normal")</f>
        <v>premium</v>
      </c>
      <c r="P2" t="str">
        <f>IF(Table1[[#This Row],[Quantity]]&gt;5,"yes","no")</f>
        <v>no</v>
      </c>
      <c r="Q2" t="str">
        <f>IF(AND(Table1[[#This Row],[bulk order]]="yes",Table1[[#This Row],[Column1]]="premium"),"yes","no")</f>
        <v>no</v>
      </c>
    </row>
    <row r="3" spans="1:17" x14ac:dyDescent="0.3">
      <c r="A3" t="s">
        <v>8</v>
      </c>
      <c r="B3" t="s">
        <v>9</v>
      </c>
      <c r="C3" t="s">
        <v>10</v>
      </c>
      <c r="D3" t="s">
        <v>11</v>
      </c>
      <c r="E3" t="str">
        <f>IF(OR(Table1[[#This Row],[Product]]="laptop",Table1[[#This Row],[Product]]="monitor"),"premium","normal")</f>
        <v>premium</v>
      </c>
      <c r="F3" t="s">
        <v>12</v>
      </c>
      <c r="G3" t="s">
        <v>13</v>
      </c>
      <c r="H3">
        <v>2</v>
      </c>
      <c r="I3">
        <f>SUM(Table1[[#This Row],[revised UP]]*Table1[[#This Row],[Quantity]])</f>
        <v>111000</v>
      </c>
      <c r="J3">
        <f>SUM(Table1[[#This Row],[Unit Price (₹)]]+500)</f>
        <v>55500</v>
      </c>
      <c r="K3">
        <v>55000</v>
      </c>
      <c r="L3">
        <v>110000</v>
      </c>
      <c r="M3">
        <f>Table1[[#This Row],[revised total]]-Table1[[#This Row],[total amt]]</f>
        <v>1000</v>
      </c>
      <c r="N3" t="str">
        <f>IF(Table1[[#This Row],[revised total]]&gt;=60000,"highvalue","low value")</f>
        <v>highvalue</v>
      </c>
      <c r="O3" t="str">
        <f>IF(OR(Table1[[#This Row],[Product]]="laptop",Table1[[#This Row],[Product]]="monitor"),"premium","normal")</f>
        <v>premium</v>
      </c>
      <c r="P3" t="str">
        <f>IF(Table1[[#This Row],[Quantity]]&gt;5,"yes","no")</f>
        <v>no</v>
      </c>
      <c r="Q3" t="str">
        <f>IF(AND(Table1[[#This Row],[bulk order]]="yes",Table1[[#This Row],[Column1]]="premium"),"yes","no")</f>
        <v>no</v>
      </c>
    </row>
    <row r="4" spans="1:17" x14ac:dyDescent="0.3">
      <c r="A4" t="s">
        <v>34</v>
      </c>
      <c r="B4" t="s">
        <v>33</v>
      </c>
      <c r="C4" t="s">
        <v>10</v>
      </c>
      <c r="D4" t="s">
        <v>25</v>
      </c>
      <c r="E4" t="str">
        <f>IF(OR(Table1[[#This Row],[Product]]="laptop",Table1[[#This Row],[Product]]="monitor"),"premium","normal")</f>
        <v>premium</v>
      </c>
      <c r="F4" t="s">
        <v>12</v>
      </c>
      <c r="G4" t="s">
        <v>13</v>
      </c>
      <c r="H4">
        <v>2</v>
      </c>
      <c r="I4">
        <f>SUM(Table1[[#This Row],[revised UP]]*Table1[[#This Row],[Quantity]])</f>
        <v>111000</v>
      </c>
      <c r="J4">
        <f>SUM(Table1[[#This Row],[Unit Price (₹)]]+500)</f>
        <v>55500</v>
      </c>
      <c r="K4">
        <v>55000</v>
      </c>
      <c r="L4">
        <f>SUM(Table1[[#This Row],[Unit Price (₹)]]*Table1[[#This Row],[Quantity]])</f>
        <v>110000</v>
      </c>
      <c r="M4">
        <f>Table1[[#This Row],[revised total]]-Table1[[#This Row],[total amt]]</f>
        <v>1000</v>
      </c>
      <c r="N4" t="str">
        <f>IF(Table1[[#This Row],[revised total]]&gt;=60000,"highvalue","low value")</f>
        <v>highvalue</v>
      </c>
      <c r="O4" t="str">
        <f>IF(OR(Table1[[#This Row],[Product]]="laptop",Table1[[#This Row],[Product]]="monitor"),"premium","normal")</f>
        <v>premium</v>
      </c>
      <c r="P4" t="str">
        <f>IF(Table1[[#This Row],[Quantity]]&gt;5,"yes","no")</f>
        <v>no</v>
      </c>
      <c r="Q4" t="str">
        <f>IF(AND(Table1[[#This Row],[bulk order]]="yes",Table1[[#This Row],[Column1]]="premium"),"yes","no")</f>
        <v>no</v>
      </c>
    </row>
    <row r="5" spans="1:17" x14ac:dyDescent="0.3">
      <c r="A5" t="s">
        <v>27</v>
      </c>
      <c r="B5" t="s">
        <v>28</v>
      </c>
      <c r="C5" t="s">
        <v>15</v>
      </c>
      <c r="D5" t="s">
        <v>11</v>
      </c>
      <c r="E5" t="str">
        <f>IF(OR(Table1[[#This Row],[Product]]="laptop",Table1[[#This Row],[Product]]="monitor"),"premium","normal")</f>
        <v>premium</v>
      </c>
      <c r="F5" t="s">
        <v>12</v>
      </c>
      <c r="G5" t="s">
        <v>13</v>
      </c>
      <c r="H5">
        <v>1</v>
      </c>
      <c r="I5">
        <f>SUM(Table1[[#This Row],[revised UP]]*Table1[[#This Row],[Quantity]])</f>
        <v>55500</v>
      </c>
      <c r="J5">
        <f>SUM(Table1[[#This Row],[Unit Price (₹)]]+500)</f>
        <v>55500</v>
      </c>
      <c r="K5">
        <v>55000</v>
      </c>
      <c r="L5">
        <f>SUM(Table1[[#This Row],[Unit Price (₹)]]*Table1[[#This Row],[Quantity]])</f>
        <v>55000</v>
      </c>
      <c r="M5">
        <f>Table1[[#This Row],[revised total]]-Table1[[#This Row],[total amt]]</f>
        <v>500</v>
      </c>
      <c r="N5" t="str">
        <f>IF(Table1[[#This Row],[revised total]]&gt;=60000,"highvalue","low value")</f>
        <v>low value</v>
      </c>
      <c r="O5" t="str">
        <f>IF(OR(Table1[[#This Row],[Product]]="laptop",Table1[[#This Row],[Product]]="monitor"),"premium","normal")</f>
        <v>premium</v>
      </c>
      <c r="P5" t="str">
        <f>IF(Table1[[#This Row],[Quantity]]&gt;5,"yes","no")</f>
        <v>no</v>
      </c>
      <c r="Q5" t="str">
        <f>IF(AND(Table1[[#This Row],[bulk order]]="yes",Table1[[#This Row],[Column1]]="premium"),"yes","no")</f>
        <v>no</v>
      </c>
    </row>
    <row r="6" spans="1:17" x14ac:dyDescent="0.3">
      <c r="A6" t="s">
        <v>40</v>
      </c>
      <c r="B6" t="s">
        <v>39</v>
      </c>
      <c r="C6" t="s">
        <v>24</v>
      </c>
      <c r="D6" t="s">
        <v>25</v>
      </c>
      <c r="E6" t="str">
        <f>IF(OR(Table1[[#This Row],[Product]]="laptop",Table1[[#This Row],[Product]]="monitor"),"premium","normal")</f>
        <v>premium</v>
      </c>
      <c r="F6" t="s">
        <v>12</v>
      </c>
      <c r="G6" t="s">
        <v>13</v>
      </c>
      <c r="H6">
        <v>1</v>
      </c>
      <c r="I6">
        <f>SUM(Table1[[#This Row],[revised UP]]*Table1[[#This Row],[Quantity]])</f>
        <v>55500</v>
      </c>
      <c r="J6">
        <f>SUM(Table1[[#This Row],[Unit Price (₹)]]+500)</f>
        <v>55500</v>
      </c>
      <c r="K6">
        <v>55000</v>
      </c>
      <c r="L6">
        <f>SUM(Table1[[#This Row],[Unit Price (₹)]]*Table1[[#This Row],[Quantity]])</f>
        <v>55000</v>
      </c>
      <c r="M6">
        <f>Table1[[#This Row],[revised total]]-Table1[[#This Row],[total amt]]</f>
        <v>500</v>
      </c>
      <c r="N6" t="str">
        <f>IF(Table1[[#This Row],[revised total]]&gt;=60000,"highvalue","low value")</f>
        <v>low value</v>
      </c>
      <c r="O6" t="str">
        <f>IF(OR(Table1[[#This Row],[Product]]="laptop",Table1[[#This Row],[Product]]="monitor"),"premium","normal")</f>
        <v>premium</v>
      </c>
      <c r="P6" t="str">
        <f>IF(Table1[[#This Row],[Quantity]]&gt;5,"yes","no")</f>
        <v>no</v>
      </c>
      <c r="Q6" t="str">
        <f>IF(AND(Table1[[#This Row],[bulk order]]="yes",Table1[[#This Row],[Column1]]="premium"),"yes","no")</f>
        <v>no</v>
      </c>
    </row>
    <row r="7" spans="1:17" x14ac:dyDescent="0.3">
      <c r="A7" t="s">
        <v>23</v>
      </c>
      <c r="B7" t="s">
        <v>20</v>
      </c>
      <c r="C7" t="s">
        <v>24</v>
      </c>
      <c r="D7" t="s">
        <v>25</v>
      </c>
      <c r="E7" t="str">
        <f>IF(OR(Table1[[#This Row],[Product]]="laptop",Table1[[#This Row],[Product]]="monitor"),"premium","normal")</f>
        <v>premium</v>
      </c>
      <c r="F7" t="s">
        <v>26</v>
      </c>
      <c r="G7" t="s">
        <v>13</v>
      </c>
      <c r="H7">
        <v>3</v>
      </c>
      <c r="I7">
        <f>SUM(Table1[[#This Row],[revised UP]]*Table1[[#This Row],[Quantity]])</f>
        <v>46500</v>
      </c>
      <c r="J7">
        <f>SUM(Table1[[#This Row],[Unit Price (₹)]]+500)</f>
        <v>15500</v>
      </c>
      <c r="K7">
        <v>15000</v>
      </c>
      <c r="L7">
        <f>SUM(Table1[[#This Row],[Unit Price (₹)]]*Table1[[#This Row],[Quantity]])</f>
        <v>45000</v>
      </c>
      <c r="M7">
        <f>Table1[[#This Row],[revised total]]-Table1[[#This Row],[total amt]]</f>
        <v>1500</v>
      </c>
      <c r="N7" t="str">
        <f>IF(Table1[[#This Row],[revised total]]&gt;=60000,"highvalue","low value")</f>
        <v>low value</v>
      </c>
      <c r="O7" t="str">
        <f>IF(OR(Table1[[#This Row],[Product]]="laptop",Table1[[#This Row],[Product]]="monitor"),"premium","normal")</f>
        <v>premium</v>
      </c>
      <c r="P7" t="str">
        <f>IF(Table1[[#This Row],[Quantity]]&gt;5,"yes","no")</f>
        <v>no</v>
      </c>
      <c r="Q7" t="str">
        <f>IF(AND(Table1[[#This Row],[bulk order]]="yes",Table1[[#This Row],[Column1]]="premium"),"yes","no")</f>
        <v>no</v>
      </c>
    </row>
    <row r="8" spans="1:17" x14ac:dyDescent="0.3">
      <c r="A8" t="s">
        <v>29</v>
      </c>
      <c r="B8" t="s">
        <v>28</v>
      </c>
      <c r="C8" t="s">
        <v>30</v>
      </c>
      <c r="D8" t="s">
        <v>16</v>
      </c>
      <c r="E8" t="str">
        <f>IF(OR(Table1[[#This Row],[Product]]="laptop",Table1[[#This Row],[Product]]="monitor"),"premium","normal")</f>
        <v>normal</v>
      </c>
      <c r="F8" t="s">
        <v>31</v>
      </c>
      <c r="G8" t="s">
        <v>13</v>
      </c>
      <c r="H8">
        <v>2</v>
      </c>
      <c r="I8">
        <f>SUM(Table1[[#This Row],[revised UP]]*Table1[[#This Row],[Quantity]])</f>
        <v>37000</v>
      </c>
      <c r="J8">
        <f>SUM(Table1[[#This Row],[Unit Price (₹)]]+500)</f>
        <v>18500</v>
      </c>
      <c r="K8">
        <v>18000</v>
      </c>
      <c r="L8">
        <f>SUM(Table1[[#This Row],[Unit Price (₹)]]*Table1[[#This Row],[Quantity]])</f>
        <v>36000</v>
      </c>
      <c r="M8">
        <f>Table1[[#This Row],[revised total]]-Table1[[#This Row],[total amt]]</f>
        <v>1000</v>
      </c>
      <c r="N8" t="str">
        <f>IF(Table1[[#This Row],[revised total]]&gt;=60000,"highvalue","low value")</f>
        <v>low value</v>
      </c>
      <c r="O8" t="str">
        <f>IF(OR(Table1[[#This Row],[Product]]="laptop",Table1[[#This Row],[Product]]="monitor"),"premium","normal")</f>
        <v>normal</v>
      </c>
      <c r="P8" t="str">
        <f>IF(Table1[[#This Row],[Quantity]]&gt;5,"yes","no")</f>
        <v>no</v>
      </c>
      <c r="Q8" t="str">
        <f>IF(AND(Table1[[#This Row],[bulk order]]="yes",Table1[[#This Row],[Column1]]="premium"),"yes","no")</f>
        <v>no</v>
      </c>
    </row>
    <row r="9" spans="1:17" x14ac:dyDescent="0.3">
      <c r="A9" t="s">
        <v>37</v>
      </c>
      <c r="B9" t="s">
        <v>36</v>
      </c>
      <c r="C9" t="s">
        <v>15</v>
      </c>
      <c r="D9" t="s">
        <v>16</v>
      </c>
      <c r="E9" t="str">
        <f>IF(OR(Table1[[#This Row],[Product]]="laptop",Table1[[#This Row],[Product]]="monitor"),"premium","normal")</f>
        <v>premium</v>
      </c>
      <c r="F9" t="s">
        <v>26</v>
      </c>
      <c r="G9" t="s">
        <v>13</v>
      </c>
      <c r="H9">
        <v>2</v>
      </c>
      <c r="I9">
        <f>SUM(Table1[[#This Row],[revised UP]]*Table1[[#This Row],[Quantity]])</f>
        <v>31000</v>
      </c>
      <c r="J9">
        <f>SUM(Table1[[#This Row],[Unit Price (₹)]]+500)</f>
        <v>15500</v>
      </c>
      <c r="K9">
        <v>15000</v>
      </c>
      <c r="L9">
        <f>SUM(Table1[[#This Row],[Unit Price (₹)]]*Table1[[#This Row],[Quantity]])</f>
        <v>30000</v>
      </c>
      <c r="M9">
        <f>Table1[[#This Row],[revised total]]-Table1[[#This Row],[total amt]]</f>
        <v>1000</v>
      </c>
      <c r="N9" t="str">
        <f>IF(Table1[[#This Row],[revised total]]&gt;=60000,"highvalue","low value")</f>
        <v>low value</v>
      </c>
      <c r="O9" t="str">
        <f>IF(OR(Table1[[#This Row],[Product]]="laptop",Table1[[#This Row],[Product]]="monitor"),"premium","normal")</f>
        <v>premium</v>
      </c>
      <c r="P9" t="str">
        <f>IF(Table1[[#This Row],[Quantity]]&gt;5,"yes","no")</f>
        <v>no</v>
      </c>
      <c r="Q9" t="str">
        <f>IF(AND(Table1[[#This Row],[bulk order]]="yes",Table1[[#This Row],[Column1]]="premium"),"yes","no")</f>
        <v>no</v>
      </c>
    </row>
    <row r="10" spans="1:17" x14ac:dyDescent="0.3">
      <c r="A10" t="s">
        <v>44</v>
      </c>
      <c r="B10" t="s">
        <v>45</v>
      </c>
      <c r="C10" t="s">
        <v>10</v>
      </c>
      <c r="D10" t="s">
        <v>16</v>
      </c>
      <c r="E10" t="str">
        <f>IF(OR(Table1[[#This Row],[Product]]="laptop",Table1[[#This Row],[Product]]="monitor"),"premium","normal")</f>
        <v>premium</v>
      </c>
      <c r="F10" t="s">
        <v>26</v>
      </c>
      <c r="G10" t="s">
        <v>13</v>
      </c>
      <c r="H10">
        <v>2</v>
      </c>
      <c r="I10">
        <f>SUM(Table1[[#This Row],[revised UP]]*Table1[[#This Row],[Quantity]])</f>
        <v>31000</v>
      </c>
      <c r="J10">
        <f>SUM(Table1[[#This Row],[Unit Price (₹)]]+500)</f>
        <v>15500</v>
      </c>
      <c r="K10">
        <v>15000</v>
      </c>
      <c r="L10">
        <f>SUM(Table1[[#This Row],[Unit Price (₹)]]*Table1[[#This Row],[Quantity]])</f>
        <v>30000</v>
      </c>
      <c r="M10">
        <f>Table1[[#This Row],[revised total]]-Table1[[#This Row],[total amt]]</f>
        <v>1000</v>
      </c>
      <c r="N10" t="str">
        <f>IF(Table1[[#This Row],[revised total]]&gt;=60000,"highvalue","low value")</f>
        <v>low value</v>
      </c>
      <c r="O10" t="str">
        <f>IF(OR(Table1[[#This Row],[Product]]="laptop",Table1[[#This Row],[Product]]="monitor"),"premium","normal")</f>
        <v>premium</v>
      </c>
      <c r="P10" t="str">
        <f>IF(Table1[[#This Row],[Quantity]]&gt;5,"yes","no")</f>
        <v>no</v>
      </c>
      <c r="Q10" t="str">
        <f>IF(AND(Table1[[#This Row],[bulk order]]="yes",Table1[[#This Row],[Column1]]="premium"),"yes","no")</f>
        <v>no</v>
      </c>
    </row>
    <row r="11" spans="1:17" x14ac:dyDescent="0.3">
      <c r="A11" t="s">
        <v>38</v>
      </c>
      <c r="B11" t="s">
        <v>39</v>
      </c>
      <c r="C11" t="s">
        <v>10</v>
      </c>
      <c r="D11" t="s">
        <v>21</v>
      </c>
      <c r="E11" t="str">
        <f>IF(OR(Table1[[#This Row],[Product]]="laptop",Table1[[#This Row],[Product]]="monitor"),"premium","normal")</f>
        <v>normal</v>
      </c>
      <c r="F11" t="s">
        <v>31</v>
      </c>
      <c r="G11" t="s">
        <v>13</v>
      </c>
      <c r="H11">
        <v>1</v>
      </c>
      <c r="I11">
        <f>SUM(Table1[[#This Row],[revised UP]]*Table1[[#This Row],[Quantity]])</f>
        <v>18500</v>
      </c>
      <c r="J11">
        <f>SUM(Table1[[#This Row],[Unit Price (₹)]]+500)</f>
        <v>18500</v>
      </c>
      <c r="K11">
        <v>18000</v>
      </c>
      <c r="L11">
        <f>SUM(Table1[[#This Row],[Unit Price (₹)]]*Table1[[#This Row],[Quantity]])</f>
        <v>18000</v>
      </c>
      <c r="M11">
        <f>Table1[[#This Row],[revised total]]-Table1[[#This Row],[total amt]]</f>
        <v>500</v>
      </c>
      <c r="N11" t="str">
        <f>IF(Table1[[#This Row],[revised total]]&gt;=60000,"highvalue","low value")</f>
        <v>low value</v>
      </c>
      <c r="O11" t="str">
        <f>IF(OR(Table1[[#This Row],[Product]]="laptop",Table1[[#This Row],[Product]]="monitor"),"premium","normal")</f>
        <v>normal</v>
      </c>
      <c r="P11" t="str">
        <f>IF(Table1[[#This Row],[Quantity]]&gt;5,"yes","no")</f>
        <v>no</v>
      </c>
      <c r="Q11" t="str">
        <f>IF(AND(Table1[[#This Row],[bulk order]]="yes",Table1[[#This Row],[Column1]]="premium"),"yes","no")</f>
        <v>no</v>
      </c>
    </row>
    <row r="12" spans="1:17" x14ac:dyDescent="0.3">
      <c r="A12" t="s">
        <v>41</v>
      </c>
      <c r="B12" t="s">
        <v>42</v>
      </c>
      <c r="C12" t="s">
        <v>30</v>
      </c>
      <c r="D12" t="s">
        <v>11</v>
      </c>
      <c r="E12" t="str">
        <f>IF(OR(Table1[[#This Row],[Product]]="laptop",Table1[[#This Row],[Product]]="monitor"),"premium","normal")</f>
        <v>normal</v>
      </c>
      <c r="F12" t="s">
        <v>17</v>
      </c>
      <c r="G12" t="s">
        <v>18</v>
      </c>
      <c r="H12">
        <v>20</v>
      </c>
      <c r="I12">
        <f>SUM(Table1[[#This Row],[revised UP]]*Table1[[#This Row],[Quantity]])</f>
        <v>22000</v>
      </c>
      <c r="J12">
        <f>SUM(Table1[[#This Row],[Unit Price (₹)]]+500)</f>
        <v>1100</v>
      </c>
      <c r="K12">
        <v>600</v>
      </c>
      <c r="L12">
        <f>SUM(Table1[[#This Row],[Unit Price (₹)]]*Table1[[#This Row],[Quantity]])</f>
        <v>12000</v>
      </c>
      <c r="M12">
        <f>Table1[[#This Row],[revised total]]-Table1[[#This Row],[total amt]]</f>
        <v>10000</v>
      </c>
      <c r="N12" t="str">
        <f>IF(Table1[[#This Row],[revised total]]&gt;=60000,"highvalue","low value")</f>
        <v>low value</v>
      </c>
      <c r="O12" t="str">
        <f>IF(OR(Table1[[#This Row],[Product]]="laptop",Table1[[#This Row],[Product]]="monitor"),"premium","normal")</f>
        <v>normal</v>
      </c>
      <c r="P12" t="str">
        <f>IF(Table1[[#This Row],[Quantity]]&gt;5,"yes","no")</f>
        <v>yes</v>
      </c>
      <c r="Q12" t="str">
        <f>IF(AND(Table1[[#This Row],[bulk order]]="yes",Table1[[#This Row],[Column1]]="premium"),"yes","no")</f>
        <v>no</v>
      </c>
    </row>
    <row r="13" spans="1:17" x14ac:dyDescent="0.3">
      <c r="A13" t="s">
        <v>32</v>
      </c>
      <c r="B13" t="s">
        <v>33</v>
      </c>
      <c r="C13" t="s">
        <v>24</v>
      </c>
      <c r="D13" t="s">
        <v>21</v>
      </c>
      <c r="E13" t="str">
        <f>IF(OR(Table1[[#This Row],[Product]]="laptop",Table1[[#This Row],[Product]]="monitor"),"premium","normal")</f>
        <v>normal</v>
      </c>
      <c r="F13" t="s">
        <v>17</v>
      </c>
      <c r="G13" t="s">
        <v>18</v>
      </c>
      <c r="H13">
        <v>15</v>
      </c>
      <c r="I13">
        <f>SUM(Table1[[#This Row],[revised UP]]*Table1[[#This Row],[Quantity]])</f>
        <v>16500</v>
      </c>
      <c r="J13">
        <f>SUM(Table1[[#This Row],[Unit Price (₹)]]+500)</f>
        <v>1100</v>
      </c>
      <c r="K13">
        <v>600</v>
      </c>
      <c r="L13">
        <f>SUM(Table1[[#This Row],[Unit Price (₹)]]*Table1[[#This Row],[Quantity]])</f>
        <v>9000</v>
      </c>
      <c r="M13">
        <f>Table1[[#This Row],[revised total]]-Table1[[#This Row],[total amt]]</f>
        <v>7500</v>
      </c>
      <c r="N13" t="str">
        <f>IF(Table1[[#This Row],[revised total]]&gt;=60000,"highvalue","low value")</f>
        <v>low value</v>
      </c>
      <c r="O13" t="str">
        <f>IF(OR(Table1[[#This Row],[Product]]="laptop",Table1[[#This Row],[Product]]="monitor"),"premium","normal")</f>
        <v>normal</v>
      </c>
      <c r="P13" t="str">
        <f>IF(Table1[[#This Row],[Quantity]]&gt;5,"yes","no")</f>
        <v>yes</v>
      </c>
      <c r="Q13" t="str">
        <f>IF(AND(Table1[[#This Row],[bulk order]]="yes",Table1[[#This Row],[Column1]]="premium"),"yes","no")</f>
        <v>no</v>
      </c>
    </row>
    <row r="14" spans="1:17" x14ac:dyDescent="0.3">
      <c r="A14" t="s">
        <v>35</v>
      </c>
      <c r="B14" t="s">
        <v>36</v>
      </c>
      <c r="C14" t="s">
        <v>30</v>
      </c>
      <c r="D14" t="s">
        <v>11</v>
      </c>
      <c r="E14" t="str">
        <f>IF(OR(Table1[[#This Row],[Product]]="laptop",Table1[[#This Row],[Product]]="monitor"),"premium","normal")</f>
        <v>normal</v>
      </c>
      <c r="F14" t="s">
        <v>22</v>
      </c>
      <c r="G14" t="s">
        <v>18</v>
      </c>
      <c r="H14">
        <v>6</v>
      </c>
      <c r="I14">
        <f>SUM(Table1[[#This Row],[revised UP]]*Table1[[#This Row],[Quantity]])</f>
        <v>10200</v>
      </c>
      <c r="J14">
        <f>SUM(Table1[[#This Row],[Unit Price (₹)]]+500)</f>
        <v>1700</v>
      </c>
      <c r="K14">
        <v>1200</v>
      </c>
      <c r="L14">
        <f>SUM(Table1[[#This Row],[Unit Price (₹)]]*Table1[[#This Row],[Quantity]])</f>
        <v>7200</v>
      </c>
      <c r="M14">
        <f>Table1[[#This Row],[revised total]]-Table1[[#This Row],[total amt]]</f>
        <v>3000</v>
      </c>
      <c r="N14" t="str">
        <f>IF(Table1[[#This Row],[revised total]]&gt;=60000,"highvalue","low value")</f>
        <v>low value</v>
      </c>
      <c r="O14" t="str">
        <f>IF(OR(Table1[[#This Row],[Product]]="laptop",Table1[[#This Row],[Product]]="monitor"),"premium","normal")</f>
        <v>normal</v>
      </c>
      <c r="P14" t="str">
        <f>IF(Table1[[#This Row],[Quantity]]&gt;5,"yes","no")</f>
        <v>yes</v>
      </c>
      <c r="Q14" t="str">
        <f>IF(AND(Table1[[#This Row],[bulk order]]="yes",Table1[[#This Row],[Column1]]="premium"),"yes","no")</f>
        <v>no</v>
      </c>
    </row>
    <row r="15" spans="1:17" x14ac:dyDescent="0.3">
      <c r="A15" t="s">
        <v>14</v>
      </c>
      <c r="B15" t="s">
        <v>9</v>
      </c>
      <c r="C15" t="s">
        <v>15</v>
      </c>
      <c r="D15" t="s">
        <v>16</v>
      </c>
      <c r="E15" t="str">
        <f>IF(OR(Table1[[#This Row],[Product]]="laptop",Table1[[#This Row],[Product]]="monitor"),"premium","normal")</f>
        <v>normal</v>
      </c>
      <c r="F15" t="s">
        <v>17</v>
      </c>
      <c r="G15" t="s">
        <v>18</v>
      </c>
      <c r="H15">
        <v>10</v>
      </c>
      <c r="I15">
        <f>SUM(Table1[[#This Row],[revised UP]]*Table1[[#This Row],[Quantity]])</f>
        <v>11000</v>
      </c>
      <c r="J15">
        <f>SUM(Table1[[#This Row],[Unit Price (₹)]]+500)</f>
        <v>1100</v>
      </c>
      <c r="K15">
        <v>600</v>
      </c>
      <c r="L15">
        <f>SUM(Table1[[#This Row],[Unit Price (₹)]]*Table1[[#This Row],[Quantity]])</f>
        <v>6000</v>
      </c>
      <c r="M15">
        <f>Table1[[#This Row],[revised total]]-Table1[[#This Row],[total amt]]</f>
        <v>5000</v>
      </c>
      <c r="N15" t="str">
        <f>IF(Table1[[#This Row],[revised total]]&gt;=60000,"highvalue","low value")</f>
        <v>low value</v>
      </c>
      <c r="O15" t="str">
        <f>IF(OR(Table1[[#This Row],[Product]]="laptop",Table1[[#This Row],[Product]]="monitor"),"premium","normal")</f>
        <v>normal</v>
      </c>
      <c r="P15" t="str">
        <f>IF(Table1[[#This Row],[Quantity]]&gt;5,"yes","no")</f>
        <v>yes</v>
      </c>
      <c r="Q15" t="str">
        <f>IF(AND(Table1[[#This Row],[bulk order]]="yes",Table1[[#This Row],[Column1]]="premium"),"yes","no")</f>
        <v>no</v>
      </c>
    </row>
    <row r="16" spans="1:17" x14ac:dyDescent="0.3">
      <c r="A16" t="s">
        <v>19</v>
      </c>
      <c r="B16" t="s">
        <v>20</v>
      </c>
      <c r="C16" t="s">
        <v>10</v>
      </c>
      <c r="D16" t="s">
        <v>21</v>
      </c>
      <c r="E16" t="str">
        <f>IF(OR(Table1[[#This Row],[Product]]="laptop",Table1[[#This Row],[Product]]="monitor"),"premium","normal")</f>
        <v>normal</v>
      </c>
      <c r="F16" t="s">
        <v>22</v>
      </c>
      <c r="G16" t="s">
        <v>18</v>
      </c>
      <c r="H16">
        <v>5</v>
      </c>
      <c r="I16">
        <f>SUM(Table1[[#This Row],[revised UP]]*Table1[[#This Row],[Quantity]])</f>
        <v>8500</v>
      </c>
      <c r="J16">
        <f>SUM(Table1[[#This Row],[Unit Price (₹)]]+500)</f>
        <v>1700</v>
      </c>
      <c r="K16">
        <v>1200</v>
      </c>
      <c r="L16">
        <f>SUM(Table1[[#This Row],[Unit Price (₹)]]*Table1[[#This Row],[Quantity]])</f>
        <v>6000</v>
      </c>
      <c r="M16">
        <f>Table1[[#This Row],[revised total]]-Table1[[#This Row],[total amt]]</f>
        <v>2500</v>
      </c>
      <c r="N16" t="str">
        <f>IF(Table1[[#This Row],[revised total]]&gt;=60000,"highvalue","low value")</f>
        <v>low value</v>
      </c>
      <c r="O16" t="str">
        <f>IF(OR(Table1[[#This Row],[Product]]="laptop",Table1[[#This Row],[Product]]="monitor"),"premium","normal")</f>
        <v>normal</v>
      </c>
      <c r="P16" t="str">
        <f>IF(Table1[[#This Row],[Quantity]]&gt;5,"yes","no")</f>
        <v>no</v>
      </c>
      <c r="Q16" t="str">
        <f>IF(AND(Table1[[#This Row],[bulk order]]="yes",Table1[[#This Row],[Column1]]="premium"),"yes","no")</f>
        <v>no</v>
      </c>
    </row>
    <row r="17" spans="5:17" x14ac:dyDescent="0.3">
      <c r="E17" t="str">
        <f>IF(OR(Table1[[#This Row],[Product]]="laptop",Table1[[#This Row],[Product]]="monitor"),"premium","normal")</f>
        <v>normal</v>
      </c>
      <c r="I17">
        <f>SUM(Table1[[#This Row],[revised UP]]*Table1[[#This Row],[Quantity]])</f>
        <v>0</v>
      </c>
      <c r="L17">
        <f>SUM(Table1[[#This Row],[Unit Price (₹)]]*Table1[[#This Row],[Quantity]])</f>
        <v>0</v>
      </c>
      <c r="M17">
        <f>Table1[[#This Row],[total amt]]-Table1[[#This Row],[revised total]]</f>
        <v>0</v>
      </c>
      <c r="N17" t="str">
        <f>IF(Table1[[#This Row],[revised total]]&gt;=60000,"highvalue","low value")</f>
        <v>low value</v>
      </c>
      <c r="O17" t="str">
        <f>IF(OR(Table1[[#This Row],[Product]]="laptop",Table1[[#This Row],[Product]]="monitor"),"premium","normal")</f>
        <v>normal</v>
      </c>
      <c r="P17" t="str">
        <f>IF(Table1[[#This Row],[Quantity]]&gt;5,"yes","no")</f>
        <v>no</v>
      </c>
      <c r="Q17" t="str">
        <f>IF(AND(Table1[[#This Row],[bulk order]]="yes",Table1[[#This Row],[Column1]]="premium"),"yes","no")</f>
        <v>no</v>
      </c>
    </row>
    <row r="18" spans="5:17" x14ac:dyDescent="0.3">
      <c r="G18" t="s">
        <v>78</v>
      </c>
      <c r="H18" t="s">
        <v>101</v>
      </c>
      <c r="I18" t="s">
        <v>102</v>
      </c>
    </row>
    <row r="19" spans="5:17" x14ac:dyDescent="0.3">
      <c r="K19" t="s">
        <v>93</v>
      </c>
      <c r="L19">
        <f>SUMIF(F2:F16,F2,H2:H16)</f>
        <v>9</v>
      </c>
    </row>
    <row r="20" spans="5:17" x14ac:dyDescent="0.3">
      <c r="G20" t="s">
        <v>88</v>
      </c>
      <c r="H20" t="s">
        <v>83</v>
      </c>
      <c r="I20">
        <f>SUM(I2:I16)</f>
        <v>731700</v>
      </c>
      <c r="K20" t="s">
        <v>94</v>
      </c>
      <c r="L20">
        <f>SUMIF(F2:F16,F3,G2:G161)</f>
        <v>0</v>
      </c>
    </row>
    <row r="21" spans="5:17" x14ac:dyDescent="0.3">
      <c r="G21" t="s">
        <v>89</v>
      </c>
      <c r="H21" t="s">
        <v>84</v>
      </c>
      <c r="I21">
        <f>SUM(H2:H16)</f>
        <v>75</v>
      </c>
      <c r="K21" t="s">
        <v>95</v>
      </c>
      <c r="L21">
        <f>SUMIF(F2:F16,F2,L2:L16)</f>
        <v>495000</v>
      </c>
    </row>
    <row r="22" spans="5:17" x14ac:dyDescent="0.3">
      <c r="G22" t="s">
        <v>90</v>
      </c>
      <c r="H22" t="s">
        <v>85</v>
      </c>
      <c r="I22">
        <f>AVERAGE(I2:I16)</f>
        <v>48780</v>
      </c>
      <c r="K22" t="s">
        <v>96</v>
      </c>
      <c r="L22">
        <f>AVERAGEIF(F2:F16,F16,I2:I16)</f>
        <v>9350</v>
      </c>
    </row>
    <row r="23" spans="5:17" x14ac:dyDescent="0.3">
      <c r="G23" t="s">
        <v>91</v>
      </c>
      <c r="H23" t="s">
        <v>86</v>
      </c>
      <c r="I23">
        <f>MAX(I2:I16)</f>
        <v>166500</v>
      </c>
      <c r="K23" t="s">
        <v>97</v>
      </c>
      <c r="L23">
        <f>SUMIF(C2:C16,C2,I2:I16)</f>
        <v>264000</v>
      </c>
    </row>
    <row r="24" spans="5:17" x14ac:dyDescent="0.3">
      <c r="G24" t="s">
        <v>92</v>
      </c>
      <c r="H24" t="s">
        <v>87</v>
      </c>
      <c r="I24">
        <f>MIN(I2:I16)</f>
        <v>8500</v>
      </c>
      <c r="K24" t="s">
        <v>98</v>
      </c>
      <c r="L24">
        <f>SUMIF(C2:C16,C3,I2:I16)</f>
        <v>280000</v>
      </c>
    </row>
    <row r="25" spans="5:17" x14ac:dyDescent="0.3">
      <c r="K25" t="s">
        <v>99</v>
      </c>
      <c r="L25">
        <f>AVERAGEIF(C2:C16,C5,L2:L16)</f>
        <v>64000</v>
      </c>
    </row>
    <row r="26" spans="5:17" x14ac:dyDescent="0.3">
      <c r="K26" t="s">
        <v>100</v>
      </c>
      <c r="L26">
        <f>COUNTIF(C2:C16,C7)</f>
        <v>3</v>
      </c>
    </row>
    <row r="27" spans="5:17" x14ac:dyDescent="0.3">
      <c r="G27" t="s">
        <v>103</v>
      </c>
      <c r="H27">
        <f>SUMIF(D2:D16,D2,L2:L16)</f>
        <v>198000</v>
      </c>
    </row>
    <row r="28" spans="5:17" x14ac:dyDescent="0.3">
      <c r="G28" t="s">
        <v>104</v>
      </c>
      <c r="H28">
        <f>AVERAGEIF(D2:D16,D3,L2:L16)</f>
        <v>46050</v>
      </c>
    </row>
    <row r="29" spans="5:17" x14ac:dyDescent="0.3">
      <c r="E29" cm="1">
        <f t="array" aca="1" ref="E29" ca="1">E29:H78</f>
        <v>0</v>
      </c>
      <c r="G29" t="s">
        <v>105</v>
      </c>
      <c r="H29">
        <f>COUNTIF(D2:D16,D8)</f>
        <v>4</v>
      </c>
    </row>
    <row r="30" spans="5:17" x14ac:dyDescent="0.3">
      <c r="G30" t="s">
        <v>106</v>
      </c>
      <c r="H30">
        <f>SUMIF(D2:D16,"West",L2:L16)</f>
        <v>210000</v>
      </c>
    </row>
  </sheetData>
  <phoneticPr fontId="1" type="noConversion"/>
  <conditionalFormatting sqref="L2:L16">
    <cfRule type="cellIs" dxfId="1" priority="1" operator="greaterThan">
      <formula>50000</formula>
    </cfRule>
    <cfRule type="cellIs" dxfId="0" priority="2" operator="lessThan">
      <formula>10000</formula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A22D-4987-4B90-A5F5-A3852439F4EB}">
  <dimension ref="A1:B6"/>
  <sheetViews>
    <sheetView zoomScale="179" zoomScaleNormal="179" workbookViewId="0">
      <selection activeCell="B3" sqref="B3"/>
    </sheetView>
  </sheetViews>
  <sheetFormatPr defaultRowHeight="14.4" x14ac:dyDescent="0.3"/>
  <cols>
    <col min="2" max="2" width="10.44140625" customWidth="1"/>
  </cols>
  <sheetData>
    <row r="1" spans="1:2" x14ac:dyDescent="0.3">
      <c r="A1" t="s">
        <v>111</v>
      </c>
      <c r="B1" t="s">
        <v>112</v>
      </c>
    </row>
    <row r="2" spans="1:2" x14ac:dyDescent="0.3">
      <c r="A2">
        <v>90</v>
      </c>
      <c r="B2" t="str">
        <f>IF(Table3[[#This Row],[mark]]&gt;=90,"A",IF(Table3[[#This Row],[mark]]&gt;=80,"B",IF(Table3[[#This Row],[mark]]&gt;=70,"C",IF(Table3[[#This Row],[mark]]&gt;=60,"D","FAIL"))))</f>
        <v>A</v>
      </c>
    </row>
    <row r="3" spans="1:2" x14ac:dyDescent="0.3">
      <c r="A3">
        <v>45</v>
      </c>
      <c r="B3" t="str">
        <f>IF(Table3[[#This Row],[mark]]&gt;=90,"A",IF(Table3[[#This Row],[mark]]&gt;=80,"B",IF(Table3[[#This Row],[mark]]&gt;=70,"C",IF(Table3[[#This Row],[mark]]&gt;=60,"D","FAIL"))))</f>
        <v>FAIL</v>
      </c>
    </row>
    <row r="4" spans="1:2" x14ac:dyDescent="0.3">
      <c r="A4">
        <v>78</v>
      </c>
      <c r="B4" t="str">
        <f>IF(Table3[[#This Row],[mark]]&gt;=90,"A",IF(Table3[[#This Row],[mark]]&gt;=80,"B",IF(Table3[[#This Row],[mark]]&gt;=70,"C",IF(Table3[[#This Row],[mark]]&gt;=60,"D","FAIL"))))</f>
        <v>C</v>
      </c>
    </row>
    <row r="5" spans="1:2" x14ac:dyDescent="0.3">
      <c r="A5">
        <v>67</v>
      </c>
      <c r="B5" t="str">
        <f>IF(Table3[[#This Row],[mark]]&gt;=90,"A",IF(Table3[[#This Row],[mark]]&gt;=80,"B",IF(Table3[[#This Row],[mark]]&gt;=70,"C",IF(Table3[[#This Row],[mark]]&gt;=60,"D","FAIL"))))</f>
        <v>D</v>
      </c>
    </row>
    <row r="6" spans="1:2" x14ac:dyDescent="0.3">
      <c r="A6">
        <v>84</v>
      </c>
      <c r="B6" t="str">
        <f>IF(Table3[[#This Row],[mark]]&gt;=90,"A",IF(Table3[[#This Row],[mark]]&gt;=80,"B",IF(Table3[[#This Row],[mark]]&gt;=70,"C",IF(Table3[[#This Row],[mark]]&gt;=60,"D","FAIL"))))</f>
        <v>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Electronics Store 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hpneha796@gmail.com</cp:lastModifiedBy>
  <dcterms:created xsi:type="dcterms:W3CDTF">2026-06-23T04:41:39Z</dcterms:created>
  <dcterms:modified xsi:type="dcterms:W3CDTF">2026-06-25T16:00:10Z</dcterms:modified>
</cp:coreProperties>
</file>